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aher-my.sharepoint.com/personal/2104474_daher_com/Documents/Documents/WORK/PYTHON/apps/Questions_TFP_APS/"/>
    </mc:Choice>
  </mc:AlternateContent>
  <xr:revisionPtr revIDLastSave="104" documentId="13_ncr:1_{2ACE7C71-CCF8-48B7-AEC7-69C3CEDFEA63}" xr6:coauthVersionLast="47" xr6:coauthVersionMax="47" xr10:uidLastSave="{F6BB368B-4990-4FF6-8216-1C185FC29382}"/>
  <bookViews>
    <workbookView xWindow="-120" yWindow="-120" windowWidth="29040" windowHeight="15720" xr2:uid="{00000000-000D-0000-FFFF-FFFF00000000}"/>
  </bookViews>
  <sheets>
    <sheet name="Liste_Questions" sheetId="1" r:id="rId1"/>
    <sheet name="Liste_UV" sheetId="2" r:id="rId2"/>
    <sheet name="Feuil1" sheetId="3" r:id="rId3"/>
  </sheets>
  <definedNames>
    <definedName name="_1x11d5k5io24" localSheetId="2">Feuil1!$A$26</definedName>
    <definedName name="_2k99lr79hl9i" localSheetId="2">Feuil1!$A$5</definedName>
    <definedName name="_2utln1nfnqsx" localSheetId="2">Feuil1!$A$2</definedName>
    <definedName name="_62p8mewzupdh" localSheetId="2">Feuil1!$A$9</definedName>
    <definedName name="_6sxpqe84lwy" localSheetId="2">Feuil1!$A$27</definedName>
    <definedName name="_847vco2er5vx" localSheetId="2">Feuil1!#REF!</definedName>
    <definedName name="_8vd2wc5v9auo" localSheetId="2">Feuil1!$A$12</definedName>
    <definedName name="_atn6jtpgu1zu" localSheetId="2">Feuil1!$A$6</definedName>
    <definedName name="_be1fc6ea00hk" localSheetId="2">Feuil1!$A$24</definedName>
    <definedName name="_e8p5frs5ytai" localSheetId="2">Feuil1!$A$3</definedName>
    <definedName name="_g70xgby2qf4" localSheetId="2">Feuil1!$A$4</definedName>
    <definedName name="_g9qmie434sne" localSheetId="2">Feuil1!$A$10</definedName>
    <definedName name="_i84ik2pub0j3" localSheetId="2">Feuil1!$A$23</definedName>
    <definedName name="_nyqwx0jkl5qi" localSheetId="2">Feuil1!$A$33</definedName>
    <definedName name="_tt764b9auzq8" localSheetId="2">Feuil1!$A$8</definedName>
    <definedName name="_u9haniwxsi9j" localSheetId="2">Feuil1!$A$16</definedName>
    <definedName name="_wpn81467iw0b" localSheetId="2">Feuil1!$A$7</definedName>
    <definedName name="_xgrsy6hezdp9" localSheetId="2">Feuil1!$A$25</definedName>
    <definedName name="_yj4hh6ff2wx9" localSheetId="2">Feuil1!$A$28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" i="3" l="1"/>
  <c r="C29" i="3"/>
  <c r="D29" i="3" s="1" a="1"/>
  <c r="D29" i="3" s="1"/>
  <c r="B30" i="3"/>
  <c r="C30" i="3" s="1"/>
  <c r="D30" i="3" s="1" a="1"/>
  <c r="D30" i="3" s="1"/>
  <c r="B31" i="3"/>
  <c r="C31" i="3" s="1"/>
  <c r="D31" i="3" s="1" a="1"/>
  <c r="D31" i="3" s="1"/>
  <c r="B32" i="3"/>
  <c r="C32" i="3" s="1"/>
  <c r="D32" i="3" s="1" a="1"/>
  <c r="D32" i="3" s="1"/>
  <c r="B33" i="3"/>
  <c r="C33" i="3"/>
  <c r="D33" i="3" s="1" a="1"/>
  <c r="D33" i="3" s="1"/>
  <c r="B34" i="3"/>
  <c r="C34" i="3" s="1"/>
  <c r="D34" i="3" s="1" a="1"/>
  <c r="D34" i="3" s="1"/>
  <c r="B35" i="3"/>
  <c r="C35" i="3" s="1"/>
  <c r="D35" i="3" s="1" a="1"/>
  <c r="D35" i="3" s="1"/>
  <c r="B36" i="3"/>
  <c r="C36" i="3" s="1"/>
  <c r="D36" i="3" s="1" a="1"/>
  <c r="D36" i="3" s="1"/>
  <c r="B37" i="3"/>
  <c r="C37" i="3"/>
  <c r="D37" i="3" s="1" a="1"/>
  <c r="D37" i="3" s="1"/>
  <c r="B38" i="3"/>
  <c r="C38" i="3" s="1"/>
  <c r="D38" i="3" s="1" a="1"/>
  <c r="D38" i="3" s="1"/>
  <c r="B39" i="3"/>
  <c r="C39" i="3" s="1"/>
  <c r="D39" i="3" s="1" a="1"/>
  <c r="D39" i="3" s="1"/>
  <c r="B40" i="3"/>
  <c r="C40" i="3" s="1"/>
  <c r="D40" i="3" s="1" a="1"/>
  <c r="D40" i="3" s="1"/>
  <c r="B41" i="3"/>
  <c r="C41" i="3"/>
  <c r="D41" i="3" s="1" a="1"/>
  <c r="D41" i="3" s="1"/>
  <c r="B11" i="3"/>
  <c r="C11" i="3" s="1"/>
  <c r="D11" i="3" s="1" a="1"/>
  <c r="D11" i="3" s="1"/>
  <c r="B12" i="3"/>
  <c r="C12" i="3"/>
  <c r="D12" i="3" s="1" a="1"/>
  <c r="D12" i="3" s="1"/>
  <c r="B13" i="3"/>
  <c r="C13" i="3"/>
  <c r="D13" i="3" s="1" a="1"/>
  <c r="D13" i="3" s="1"/>
  <c r="B14" i="3"/>
  <c r="C14" i="3"/>
  <c r="D14" i="3" a="1"/>
  <c r="D14" i="3" s="1"/>
  <c r="B15" i="3"/>
  <c r="C15" i="3"/>
  <c r="D15" i="3" s="1" a="1"/>
  <c r="D15" i="3" s="1"/>
  <c r="B16" i="3"/>
  <c r="C16" i="3"/>
  <c r="D16" i="3" s="1" a="1"/>
  <c r="D16" i="3" s="1"/>
  <c r="B17" i="3"/>
  <c r="C17" i="3"/>
  <c r="D17" i="3" s="1" a="1"/>
  <c r="D17" i="3" s="1"/>
  <c r="B18" i="3"/>
  <c r="C18" i="3"/>
  <c r="D18" i="3" a="1"/>
  <c r="D18" i="3" s="1"/>
  <c r="B19" i="3"/>
  <c r="C19" i="3"/>
  <c r="D19" i="3" a="1"/>
  <c r="D19" i="3" s="1"/>
  <c r="B20" i="3"/>
  <c r="C20" i="3"/>
  <c r="D20" i="3" s="1" a="1"/>
  <c r="D20" i="3" s="1"/>
  <c r="B21" i="3"/>
  <c r="C21" i="3"/>
  <c r="D21" i="3" s="1" a="1"/>
  <c r="D21" i="3" s="1"/>
  <c r="B22" i="3"/>
  <c r="C22" i="3"/>
  <c r="D22" i="3" a="1"/>
  <c r="D22" i="3" s="1"/>
  <c r="B23" i="3"/>
  <c r="C23" i="3"/>
  <c r="D23" i="3" a="1"/>
  <c r="D23" i="3" s="1"/>
  <c r="B24" i="3"/>
  <c r="C24" i="3"/>
  <c r="D24" i="3" s="1" a="1"/>
  <c r="D24" i="3" s="1"/>
  <c r="B25" i="3"/>
  <c r="C25" i="3"/>
  <c r="D25" i="3" s="1" a="1"/>
  <c r="D25" i="3" s="1"/>
  <c r="B26" i="3"/>
  <c r="C26" i="3"/>
  <c r="D26" i="3" a="1"/>
  <c r="D26" i="3" s="1"/>
  <c r="B27" i="3"/>
  <c r="C27" i="3"/>
  <c r="D27" i="3" a="1"/>
  <c r="D27" i="3" s="1"/>
  <c r="B28" i="3"/>
  <c r="C28" i="3"/>
  <c r="D28" i="3" s="1" a="1"/>
  <c r="D28" i="3" s="1"/>
  <c r="B2" i="3"/>
  <c r="C2" i="3" s="1"/>
  <c r="D2" i="3" s="1" a="1"/>
  <c r="D2" i="3" s="1"/>
  <c r="B3" i="3"/>
  <c r="C3" i="3" s="1"/>
  <c r="D3" i="3" s="1" a="1"/>
  <c r="D3" i="3" s="1"/>
  <c r="B4" i="3"/>
  <c r="C4" i="3" s="1"/>
  <c r="D4" i="3" s="1" a="1"/>
  <c r="D4" i="3" s="1"/>
  <c r="B5" i="3"/>
  <c r="C5" i="3" s="1"/>
  <c r="D5" i="3" s="1" a="1"/>
  <c r="D5" i="3" s="1"/>
  <c r="B6" i="3"/>
  <c r="C6" i="3" s="1"/>
  <c r="D6" i="3" s="1" a="1"/>
  <c r="D6" i="3" s="1"/>
  <c r="B7" i="3"/>
  <c r="C7" i="3" s="1"/>
  <c r="D7" i="3" s="1" a="1"/>
  <c r="D7" i="3" s="1"/>
  <c r="B8" i="3"/>
  <c r="C8" i="3" s="1"/>
  <c r="D8" i="3" s="1" a="1"/>
  <c r="D8" i="3" s="1"/>
  <c r="B9" i="3"/>
  <c r="C9" i="3" s="1"/>
  <c r="D9" i="3" s="1" a="1"/>
  <c r="D9" i="3" s="1"/>
  <c r="B10" i="3"/>
  <c r="C10" i="3" s="1"/>
  <c r="D10" i="3" s="1" a="1"/>
  <c r="D10" i="3" s="1"/>
  <c r="B1" i="3"/>
  <c r="C1" i="3" s="1"/>
  <c r="D1" i="3" s="1" a="1"/>
  <c r="D1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<sst xmlns="http://schemas.openxmlformats.org/spreadsheetml/2006/main" count="793" uniqueCount="492">
  <si>
    <t>UV</t>
  </si>
  <si>
    <t>Numéro Question</t>
  </si>
  <si>
    <t>Intitulé de la Question</t>
  </si>
  <si>
    <t>Proposition A</t>
  </si>
  <si>
    <t>Proposition B</t>
  </si>
  <si>
    <t>Proposition C</t>
  </si>
  <si>
    <t>Proposition D</t>
  </si>
  <si>
    <t>Proposition E</t>
  </si>
  <si>
    <t>Proposition F</t>
  </si>
  <si>
    <t>Bonne Réponse</t>
  </si>
  <si>
    <t>UV2</t>
  </si>
  <si>
    <t>1</t>
  </si>
  <si>
    <t>D</t>
  </si>
  <si>
    <t>2</t>
  </si>
  <si>
    <t>A</t>
  </si>
  <si>
    <t>3</t>
  </si>
  <si>
    <t>4</t>
  </si>
  <si>
    <t>5</t>
  </si>
  <si>
    <t>C</t>
  </si>
  <si>
    <t>6</t>
  </si>
  <si>
    <t>7</t>
  </si>
  <si>
    <t>B</t>
  </si>
  <si>
    <t>8</t>
  </si>
  <si>
    <t>E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</si>
  <si>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</si>
  <si>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</si>
  <si>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</si>
  <si>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</si>
  <si>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</si>
  <si>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</si>
  <si>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</si>
  <si>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</si>
  <si>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</si>
  <si>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</si>
  <si>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</si>
  <si>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</si>
  <si>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</si>
  <si>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</si>
  <si>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</si>
  <si>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</si>
  <si>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</si>
  <si>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</si>
  <si>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</si>
  <si>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</si>
  <si>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</si>
  <si>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</si>
  <si>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</si>
  <si>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Laquelle de ces propositions constitue une infraction ?</t>
  </si>
  <si>
    <t>32</t>
  </si>
  <si>
    <t>Je suis en situation de pouvoir agir immédiatement contre une atteinte à l’intégrité physique d’une personne :</t>
  </si>
  <si>
    <t>33</t>
  </si>
  <si>
    <t>Les agents de sécurité employés par un bailleur d’immeuble à usage d’habitation peuvent être armés :</t>
  </si>
  <si>
    <t>34</t>
  </si>
  <si>
    <t>Quelles sont les conditions relatives à la défense devant être réunies pour pouvoir invoquer la légitime défense ?</t>
  </si>
  <si>
    <t>35</t>
  </si>
  <si>
    <t>La langue française…</t>
  </si>
  <si>
    <t>36</t>
  </si>
  <si>
    <t>Qu’appelle-t-on le Palais Bourbon ?</t>
  </si>
  <si>
    <t>37</t>
  </si>
  <si>
    <t>Il est interdit aux personnes exerçant une activité de sécurité privée :</t>
  </si>
  <si>
    <t>Si vous réussissez l’examen final du TFP APS, vous pourrez demander la carte professionnelle d’ :</t>
  </si>
  <si>
    <t>La liberté d’aller et venir s’inscrit dans le respect :</t>
  </si>
  <si>
    <t>Un agent de sécurité exerçant ses fonctions dans une grande surface peut-il appréhender un individu qui y entre avec une matraque et tente d’agresser une caissière ?</t>
  </si>
  <si>
    <t>Les acteurs de la sécurité privée doivent respecter la confidentialité des informations dont ils ont eu connaissance dans le cadre de leur activité :</t>
  </si>
  <si>
    <t>Le directeur de l’établissement où je suis en poste me demande de prendre un colis à l’accueil pour le déposer dans un service interne pendant ma ronde :</t>
  </si>
  <si>
    <t>Que risque un employeur qui a conclu un contrat de travail avec un agent de sécurité, non titulaire de la carte professionnelle ?</t>
  </si>
  <si>
    <t>Au titre de quel article de loi un agent de prévention et de sécurité peut-il appréhender un individu ?</t>
  </si>
  <si>
    <t>Un APS autorisé au port d’armes peut-il détenir l’arme de service à son domicile ?</t>
  </si>
  <si>
    <t>La formation pour le renouvellement de la carte professionnelle (Maintien et Actualisation des Connaissances) est à la charge :</t>
  </si>
  <si>
    <t>Quel est le casier judiciaire que consulte le CNAPS pour délivrer l’Autorisation Préalable ou la Carte Professionnelle ?</t>
  </si>
  <si>
    <t>Ai-je le droit d’appliquer la légitime défense ?</t>
  </si>
  <si>
    <t>En vertu de l’article R613-8 du code de la sécurité intérieure, l’agent de sécurité peut réaliser des palpations s’il :</t>
  </si>
  <si>
    <t>Que contient le casier judiciaire B3 ?</t>
  </si>
  <si>
    <t>Une arme d’épaule à répétition automatique relevant du matériel de guerre est une arme de catégorie :</t>
  </si>
  <si>
    <t>Je suis agent de prévention et de sécurité, intervenant sous-traitance, pour une autre entreprise de sécurité, quelle tenue dois-je porter ?</t>
  </si>
  <si>
    <t>La carte professionnelle peut-être retirée si le titulaire :</t>
  </si>
  <si>
    <t>Un agent de Prévention et de Sécurité d’un service interne doit :</t>
  </si>
  <si>
    <t>Le port et transport d’armes sans agrément spécifique, de type générateurs aérosols (de catégorie D) et arme à impulsion électrique de contact :</t>
  </si>
  <si>
    <t>Conformément au code de la sécurité intérieure, quel est le régime administratif d’acquisition et de détention d’une arme de catégorie D ?</t>
  </si>
  <si>
    <t>En poste dans un magasin, le directeur me demande de surveiller une caissière qu’il soupçonne de ne pas respecter ses horaires de pause :</t>
  </si>
  <si>
    <t>Un agent de prévention et de sécurité peut-il, au regard du Livre VI du Code de la Sécurité Intérieure :</t>
  </si>
  <si>
    <t>Quelle situation est considérée comme un cas d’aggravation de l’infraction de vol ? Le fait de commettre un vol :</t>
  </si>
  <si>
    <t>Dans le cadre de son activité, l’agent privé de sécurité porte :</t>
  </si>
  <si>
    <t>Qu’est-ce qui constitue un cas de présomption en légitime défense ?</t>
  </si>
  <si>
    <t>La demande de renouvellement de la carte professionnelle (conformément au CSI) doit être présentée :</t>
  </si>
  <si>
    <t>Quelles sont les caractéristiques du casier judiciaire ?</t>
  </si>
  <si>
    <t>Agent Rondier Intervenant, je viens d’apprendre par lettre recommandée que j’ai perdu mon permis de conduire :</t>
  </si>
  <si>
    <t>Qu’est-ce qu’une arme de catégorie A1 ?</t>
  </si>
  <si>
    <t>Constitue une rébellion le fait d’opposer une résistance violente :</t>
  </si>
  <si>
    <t>La formation continue pour le renouvellement de la carte professionnelle s’appelle :</t>
  </si>
  <si>
    <t>Aucune des autres réponses</t>
  </si>
  <si>
    <t>Toutes les réponses sont exactes</t>
  </si>
  <si>
    <t>Est obligatoire sur les documents officiels</t>
  </si>
  <si>
    <t>Le Sénat</t>
  </si>
  <si>
    <t>Le fait de ne pas remplir correctement la main courante</t>
  </si>
  <si>
    <t>J’agis même s’il y a risque pour moi, c’est mon devoir d’APS</t>
  </si>
  <si>
    <t>D’un bâton de défense de type TONFA</t>
  </si>
  <si>
    <t>Actuelle, dirigée contre l’agresseur, imminente</t>
  </si>
  <si>
    <t>A toujours existé</t>
  </si>
  <si>
    <t>Le Conseil Constitutionnel</t>
  </si>
  <si>
    <t>D’un pistolet</t>
  </si>
  <si>
    <t>J’agis s’il n’y a pas de risque pour moi ou pour autrui</t>
  </si>
  <si>
    <t>Le fait de ne pas agir contre une personne qui menace avec une arme</t>
  </si>
  <si>
    <t>Le fait de ne pas porter secours à une personne blessée dans l’établissement surveillé</t>
  </si>
  <si>
    <t>Le fait d’arriver en léger retard à sa prise de poste sans avoir prévenu</t>
  </si>
  <si>
    <t>Je n’agis pas. Dans tous les cas, ce sont aux forces de l’ordre d’intervenir</t>
  </si>
  <si>
    <t>Je n’agis jamais sauf si je suis autorisé à porter une arme</t>
  </si>
  <si>
    <t>D’un revolver</t>
  </si>
  <si>
    <t>D’une grenade lacrymogène inférieure à 100 ml</t>
  </si>
  <si>
    <t>Instinctive, sans violence, après sommations</t>
  </si>
  <si>
    <t>Nécessaire, dans le même temps, proportionnée à la gravité de l’atteinte</t>
  </si>
  <si>
    <t>Indispensable, proportionnée à l’attitude de l’agresseur, différée en cas d’hésitation</t>
  </si>
  <si>
    <t>A été créée par l’Académie française</t>
  </si>
  <si>
    <t>Ne peut être parlée que par des Françaises et Français</t>
  </si>
  <si>
    <t>N’est pas la seule langue officielle de la République</t>
  </si>
  <si>
    <t>De se livrer à une surveillance dans un stade</t>
  </si>
  <si>
    <t>De se livrer à une surveillance dans des lieux recevant du public</t>
  </si>
  <si>
    <t>De se livrer à une surveillance contre le vol à l’étalage</t>
  </si>
  <si>
    <t>De s’immiscer dans le déroulement d’un conflit du travail</t>
  </si>
  <si>
    <t/>
  </si>
  <si>
    <t>Agent de gardiennage ou de surveillance humaine pouvant inclure l’utilisation de moyens électroniques</t>
  </si>
  <si>
    <t>Agent de Protection et de Sécurité</t>
  </si>
  <si>
    <t>Agent Privé de Sécurité</t>
  </si>
  <si>
    <t>Agent Private de Sécurity</t>
  </si>
  <si>
    <t>Du Code de la sécurité intérieure</t>
  </si>
  <si>
    <t>Du Code de procédure pénale</t>
  </si>
  <si>
    <t>De la Déclaration des droits de l’homme et du citoyen de 1789</t>
  </si>
  <si>
    <t>De la Déclaration universelle des droits de l’homme de 1948 et son article 13</t>
  </si>
  <si>
    <t xml:space="preserve">De la Convention européenne des droits de l’homme de 1950 </t>
  </si>
  <si>
    <t>Oui, car il est dans le cadre de l’état de nécessité, prévu par l’article 122-7 du Code pénal</t>
  </si>
  <si>
    <t>Il peut juste l’aborder mais ne peut pas l’appréhender en vertu de l’art.73 du CPP</t>
  </si>
  <si>
    <t>Il peut seulement consigner sa matraque ou son poignard</t>
  </si>
  <si>
    <t>Non, car il n’y a pas d’infraction prévue pour ce type de faut</t>
  </si>
  <si>
    <t>Dans tous les cas</t>
  </si>
  <si>
    <t>Dans le respect d’un délai de 5 ans</t>
  </si>
  <si>
    <t>Sous réserve des cas prévus ou autorisés par la loi (ex : procédure judiciaire)</t>
  </si>
  <si>
    <t>Sauf en cas d’accord préalable de leur ancien chef de poste</t>
  </si>
  <si>
    <t>Je le fais puisque le principe d’exclusivité ne s’applique qu’à mon entreprise</t>
  </si>
  <si>
    <t>Je le fais, puisque cela ne me détourne pas de mon circuit de ronde</t>
  </si>
  <si>
    <t>Je ne le fais pas car je n’ai pas de chariot adapté à la mission</t>
  </si>
  <si>
    <t>Je ne le fais pas car le principe d’exclusivité prévu dans le CSI m’interdit de le faire</t>
  </si>
  <si>
    <t>L’employeur ne risque rien</t>
  </si>
  <si>
    <t>Une amende d’environ 30 000 euros d’amende</t>
  </si>
  <si>
    <t>Une amende d’environ 15 000 euros d’amende</t>
  </si>
  <si>
    <t>Une amende d’environ 20 000 euros d’amende</t>
  </si>
  <si>
    <t>Article R 661-1 du Code pénal</t>
  </si>
  <si>
    <t>Article 53 du code de procédure pénale</t>
  </si>
  <si>
    <t>Article 223-1 du code pénal</t>
  </si>
  <si>
    <t>Article 122-5 du code pénal</t>
  </si>
  <si>
    <t>Non, en aucun cas</t>
  </si>
  <si>
    <t>Oui, s’il est titulaire d’une autorisation de port d’armes</t>
  </si>
  <si>
    <t xml:space="preserve">Oui, à condition de l’enfermer dans un coffre-fort </t>
  </si>
  <si>
    <t>Oui, avec l’autorisation de son employeur</t>
  </si>
  <si>
    <t xml:space="preserve">De l’entreprise du site sur lequel je suis en poste </t>
  </si>
  <si>
    <t>Des centres de formation accrédités</t>
  </si>
  <si>
    <t>De mon employeur, conformément à l’accord de branche</t>
  </si>
  <si>
    <t>Du CNAPS via le Fonds de Modernisation Sociale</t>
  </si>
  <si>
    <t>Bulletin N°1</t>
  </si>
  <si>
    <t>Bulletin N°2</t>
  </si>
  <si>
    <t>Bulletin N°3</t>
  </si>
  <si>
    <t>Bulletin N°4</t>
  </si>
  <si>
    <t>Non, seules les forces de l’ordre peuvent l’appliquer</t>
  </si>
  <si>
    <t>Non, sauf en tant qu’APS durant mes vacations</t>
  </si>
  <si>
    <t>Oui, seulement en cas d’attaque injustifiée, réelle et actuelle</t>
  </si>
  <si>
    <t>Oui, en tant qu’APS durant mes vacations</t>
  </si>
  <si>
    <t>Est, entre autres conditions, titulaire d’une carte professionnelle en cours de validité</t>
  </si>
  <si>
    <t>Justifie de deux années d’exercice professionnel</t>
  </si>
  <si>
    <t>Justifie de trois années d’exercice professionnel</t>
  </si>
  <si>
    <t>Justifie de cinq années d’exercice professionnel</t>
  </si>
  <si>
    <t>Rien de particulier</t>
  </si>
  <si>
    <t>Le bulletin n°3 comporte toutes les décisions de justice (peines de prison, amende…)</t>
  </si>
  <si>
    <t>Le bulletin n°3 comporte les condamnations correctionnelles et criminelles</t>
  </si>
  <si>
    <t>Le bulletin n°3 comporte uniquement les condamnations les plus graves</t>
  </si>
  <si>
    <t>La tenue de l’entreprise qui détient le contrat</t>
  </si>
  <si>
    <t>La tenue de mon entreprise</t>
  </si>
  <si>
    <t>Je dois porter ma tenue mais avec les insignes et les logos de l’entreprise qui détient le contrat</t>
  </si>
  <si>
    <t>Peu importe la tenue, seule la carte professionnelle compte</t>
  </si>
  <si>
    <t>Déménage dans une autre région</t>
  </si>
  <si>
    <t>Fait l’objet d’une inscription sur le bulletin n°2 de son casier judiciaire</t>
  </si>
  <si>
    <t>Change de site d’affectation</t>
  </si>
  <si>
    <t>Change d’employeur</t>
  </si>
  <si>
    <t>Se soumettre à l’application du Livre VI</t>
  </si>
  <si>
    <t>Se soumettre au code de déontologie</t>
  </si>
  <si>
    <t>Porter une tenue réglementaire</t>
  </si>
  <si>
    <t>Disposer d’une carte professionnelle délivrée par la CLAC</t>
  </si>
  <si>
    <t>Est autorisé</t>
  </si>
  <si>
    <t>Est interdit par la loi sauf en cas de légitime défense</t>
  </si>
  <si>
    <t>Constitue une infraction qualifiée de délit, passible d’une peine d’emprisonnement et de 15 000 euros d’amende</t>
  </si>
  <si>
    <t>Constitue une contravention passible d’une peine d’emprisonnement</t>
  </si>
  <si>
    <t>Armes interdites à l’acquisition et à la détention</t>
  </si>
  <si>
    <t>Armes soumises à autorisation pour l’acquisition et la détention</t>
  </si>
  <si>
    <t>Armes soumises à déclaration pour l’acquisition et la détention</t>
  </si>
  <si>
    <t>Armes et matériels dont l’acquisition et la détention sont libres</t>
  </si>
  <si>
    <t>Je refuse de le faire car c’est un délégué du personnel du client</t>
  </si>
  <si>
    <t>Je refuse car il est interdit de m’immiscer dans le déroulement d’un événement se rapportant à un possible conflit de travail</t>
  </si>
  <si>
    <t>Je le fais mais exige de disposer de la vidéo pour disposer des preuves</t>
  </si>
  <si>
    <t>Je le fais mais je prends bien soin de l’indiquer sur la main courante</t>
  </si>
  <si>
    <t>Effectuer des prestations de propreté et de nettoyage</t>
  </si>
  <si>
    <t>Vérifier visuellement le bon fonctionnement des machines-outils du site ?</t>
  </si>
  <si>
    <t>Tenir le standard téléphonique du client à plein temps ?</t>
  </si>
  <si>
    <t>Poster un pli urgent à la poste sur demande du client ?</t>
  </si>
  <si>
    <t>Dans un magasin après avoir rendu inopérantes les caméras de surveillance</t>
  </si>
  <si>
    <t>Dans un magasin après s’être laissé enfermer volontairement à la fermeture des portes</t>
  </si>
  <si>
    <t>En prenant indûment la qualité d’une personne dépositaire de l’autorité publique</t>
  </si>
  <si>
    <t>En s’enfuyant après le larcin</t>
  </si>
  <si>
    <t>Un uniforme avec au minimum 2 insignes distinctifs placés de façon à être toujours visibles</t>
  </si>
  <si>
    <t>Un uniforme avec au maximum 2 insignes distinctifs placés de façon à être visibles</t>
  </si>
  <si>
    <t>Une tenue particulière qui doit toujours être conforme aux exigences des services d’incendie</t>
  </si>
  <si>
    <t>Une tenue particulière qui ne doit entraîner aucune confusion avec la tenue des agents des services publics</t>
  </si>
  <si>
    <t>Se défendre en cas de dispute</t>
  </si>
  <si>
    <t>Se défendre en cas de vol exécuté avec violence</t>
  </si>
  <si>
    <t>Se défendre en cas d’agression verbale</t>
  </si>
  <si>
    <t>Se défendre en cas d’agression mentale</t>
  </si>
  <si>
    <t>Au moins 1 mois avant sa date d’expiration</t>
  </si>
  <si>
    <t>Au moins 3 mois avant sa date d’expiration</t>
  </si>
  <si>
    <t>Au moins 4 mois avant sa date d’expiration</t>
  </si>
  <si>
    <t>6 mois obligatoires avant sa date d’expiration</t>
  </si>
  <si>
    <t>Le casier judiciaire contient les condamnations civiles d’une même personne. Il existe 4 types de bulletins</t>
  </si>
  <si>
    <t xml:space="preserve">Le casier judiciaire contient les condamnations pénales d’une même personne. </t>
  </si>
  <si>
    <t>Le casier judiciaire contient les condamnations pénales et civiles d’une même personne.</t>
  </si>
  <si>
    <t>Le casier judiciaire contient les condamnations pénales d’une même personne. Il existe 2 types de bulletins</t>
  </si>
  <si>
    <t>Je dois prévenir mon employeur pour mettre en place une solution transitoire</t>
  </si>
  <si>
    <t>Je m’inscris à un stage de récupération de points et continue à tenir mon poste de rondier intervenant</t>
  </si>
  <si>
    <t>Etant en fonction d’agent de sécurité, je reste habilité à conduire uniquement pour mon activité de sécurité privée</t>
  </si>
  <si>
    <t>Je demande à un ami disposant du permis de me conduire sur les lieux d’intervention</t>
  </si>
  <si>
    <t>Arme interdite à l’acquisition et à la détention</t>
  </si>
  <si>
    <t>Arme soumise à autorisation</t>
  </si>
  <si>
    <t>Arme soumise à déclaration</t>
  </si>
  <si>
    <t>Arme soumise à enregistrement</t>
  </si>
  <si>
    <t>Lors d’une agression contre sa personne</t>
  </si>
  <si>
    <t>Dans le cas de légitime défense des biens</t>
  </si>
  <si>
    <t>Pour repousser de nuit l’entrée dans un lieu habité</t>
  </si>
  <si>
    <t>A un représentant des forces de l’ordre agissant dans l’exercice de ses fonctions</t>
  </si>
  <si>
    <t>L’Assemblée nationale</t>
  </si>
  <si>
    <t>Le Conseil d’État</t>
  </si>
  <si>
    <t>La résidence du Premier ministre</t>
  </si>
  <si>
    <t>MAC (Maintien et Actualisation des Connaissances)</t>
  </si>
  <si>
    <t>CNAPS (Conseil National des Activités Privées de Sécurité)</t>
  </si>
  <si>
    <t>CNAVS (Conseil National des Activités de Sécurité)</t>
  </si>
  <si>
    <t>CNAPS via le Fonds de Modernisation Sociale</t>
  </si>
  <si>
    <t>Description</t>
  </si>
  <si>
    <t>UV1</t>
  </si>
  <si>
    <t>Module secourisme</t>
  </si>
  <si>
    <t>Module environnement juridique</t>
  </si>
  <si>
    <t>UV3</t>
  </si>
  <si>
    <t>Module gestion des conflits</t>
  </si>
  <si>
    <t>UV4</t>
  </si>
  <si>
    <t>Module stratégique</t>
  </si>
  <si>
    <t>UV5</t>
  </si>
  <si>
    <t>Module prévention des risques d’incendie</t>
  </si>
  <si>
    <t>UV6</t>
  </si>
  <si>
    <t>Module d’appréhension au cours de l’exercice du métier</t>
  </si>
  <si>
    <t>UV7</t>
  </si>
  <si>
    <t>Module sensibilisation aux risques terroristes, réagir face à une attaque, secourir</t>
  </si>
  <si>
    <t>UV8</t>
  </si>
  <si>
    <t>Module professionnel</t>
  </si>
  <si>
    <t>UV9</t>
  </si>
  <si>
    <t>Module palpation de sécurité et inspection des bagages</t>
  </si>
  <si>
    <t>UV10</t>
  </si>
  <si>
    <t>Module surveillance par moyens électroniques de sécurité</t>
  </si>
  <si>
    <t>UV11</t>
  </si>
  <si>
    <t>Module gestion des risques</t>
  </si>
  <si>
    <t>UV12</t>
  </si>
  <si>
    <t>Module événementiel spécifique</t>
  </si>
  <si>
    <t>UV13</t>
  </si>
  <si>
    <t>Module gestion des situations conflictuelles</t>
  </si>
  <si>
    <t>UV14</t>
  </si>
  <si>
    <t>Module industriel spécifique</t>
  </si>
  <si>
    <t>UV15</t>
  </si>
  <si>
    <t>Mise en situation pratique sur un contexte professionnel tiré au sort par le candidat</t>
  </si>
  <si>
    <t>1 - Quels sont les 4 comportements pouvant être adoptés théoriquement lors d’un conflit ?|Fuite - Assertivité - Contrainte - Manipulation|Assertivité - Arrogance - Manipulation - Agressivité|Agressivité - Assertivité - Fuite - Manipulation|Agressivité - Fuite - Manipulation - Monologue|Aucune des autres réponses</t>
  </si>
  <si>
    <t>2 - Quelles sont les précautions à prendre lorsqu’on aborde une personne susceptible de générer un conflit ?|Rester à une dizaine de mètres pour ne pas s’exposer|Garder une distance raisonnable de sécurité|Se munir d’un moyen de défense|S’approcher au plus près pour rassurer la personne|Aucune des autres réponses</t>
  </si>
  <si>
    <t>3 - Quelles sont les méthodes de réaction aux attaques verbales, menaces et intimidation ?|Répondre sur le même ton - faire du Karaté|Ignorer la personne - Continuer de faire son travail|Répondre sur le même ton - Appeler la police|Garder son calme - Pratiquer le judo verbal pour retourner la situation|Aucune des autres réponses</t>
  </si>
  <si>
    <t>4 - Quel type de personne peut être plus générateur de conflit ?|Une personne insatisfaite|Une personne timide|Une personne bavarde|Une personne ne parlant pas le français|Aucune des autres réponses</t>
  </si>
  <si>
    <t>5 - A l’entrée d’un centre commercial, un client vient se plaindre auprès de vous d’un article acheté, qu’il juge défectueux. Que faites-vous ?|Vous lui proposez de faire l’échange vous-même|Vous prenez le temps d’écouter et le dirigez vers le service après-vente|Vous refusez de le renseigner|Vous lui proposez vos services, après votre vacation, car vous connaissez bien les défauts de cet article|Aucune des autres réponses</t>
  </si>
  <si>
    <t>6 - Je viens de fermer la porte d’entrée au supermarché avant sa fermeture totale. Un client veut rentrer malgré tout et frappe violemment sur la porte vitrée. Que faites-vous ?|Je lui explique que le magasin et les caisses sont fermés|J’ouvre les portes et le laisse rentrer exceptionnellement|Je lui ordonne de quitter les lieux immédiatement et le menace d’appeler les forces de l’ordre|Je l’ignore et continue ma ronde de fermeture|Aucune des autres réponses</t>
  </si>
  <si>
    <t>7 - Lorsque l’agent observe des personnes en conflit dans son périmètre d’action, il doit ?|Uniquement observer ce qui se passe|Partir le plus vite possible|Se poser en médiateur|Prendre position avant de connaître l’origine du conflit|Aucune des autres réponses</t>
  </si>
  <si>
    <t>8 - Dans la communication non verbale, que peut signifier le fait de pointer quelqu’un du doigt ?|Une attitude menaçante ou arrogante|Une attitude de séduction|Une attitude apaisante|Une attitude conciliante|Aucune des autres réponses</t>
  </si>
  <si>
    <t>9 - Durant sa ronde un agent découvre une personne qui fume dans le local des archives, comment procède-t-il pour intervenir sans générer de conflit ?|Lui confisquer ses cigarettes|Retourner au PCS pour renseigner l’incident sur la main courante|Laisser la personne terminer sa cigarette et lui demander de ne pas recommencer|Se présenter, et rappeler la réglementation au contrevenant|Aucune des autres réponses</t>
  </si>
  <si>
    <t>10 - Que doit faire le chef de poste lorsque vous êtes en conflit avec l’un de vos collègues APS ?|Attendre la dégradation de la situation pour offrir son aide|Contacter immédiatement la hiérarchie et demander des sanctions|Ne pas intervenir pour laisser la dispute s’estomper|Réunir les agents concernés pour résoudre le problème|Aucune des autres réponses</t>
  </si>
  <si>
    <t>Quels sont les 4 comportements pouvant être adoptés théoriquement lors d’un conflit ?</t>
  </si>
  <si>
    <t>Fuite - Assertivité - Contrainte - Manipulation</t>
  </si>
  <si>
    <t>Assertivité - Arrogance - Manipulation - Agressivité</t>
  </si>
  <si>
    <t>Agressivité - Assertivité - Fuite - Manipulation</t>
  </si>
  <si>
    <t>Agressivité - Fuite - Manipulation - Monologue</t>
  </si>
  <si>
    <t>Quelles sont les précautions à prendre lorsqu’on aborde une personne susceptible de générer un conflit ?</t>
  </si>
  <si>
    <t>Rester à une dizaine de mètres pour ne pas s’exposer</t>
  </si>
  <si>
    <t>Garder une distance raisonnable de sécurité</t>
  </si>
  <si>
    <t>Se munir d’un moyen de défense</t>
  </si>
  <si>
    <t>S’approcher au plus près pour rassurer la personne</t>
  </si>
  <si>
    <t>Quelles sont les méthodes de réaction aux attaques verbales, menaces et intimidation ?</t>
  </si>
  <si>
    <t>Répondre sur le même ton - faire du Karaté</t>
  </si>
  <si>
    <t>Ignorer la personne - Continuer de faire son travail</t>
  </si>
  <si>
    <t>Répondre sur le même ton - Appeler la police</t>
  </si>
  <si>
    <t>Garder son calme - Pratiquer le judo verbal pour retourner la situation</t>
  </si>
  <si>
    <t>Quel type de personne peut être plus générateur de conflit ?</t>
  </si>
  <si>
    <t>Une personne insatisfaite</t>
  </si>
  <si>
    <t>Une personne timide</t>
  </si>
  <si>
    <t>Une personne bavarde</t>
  </si>
  <si>
    <t>Une personne ne parlant pas le français</t>
  </si>
  <si>
    <t>A l’entrée d’un centre commercial, un client vient se plaindre auprès de vous d’un article acheté, qu’il juge défectueux. Que faites-vous ?</t>
  </si>
  <si>
    <t>Vous lui proposez de faire l’échange vous-même</t>
  </si>
  <si>
    <t>Vous prenez le temps d’écouter et le dirigez vers le service après-vente</t>
  </si>
  <si>
    <t>Vous refusez de le renseigner</t>
  </si>
  <si>
    <t>Vous lui proposez vos services, après votre vacation, car vous connaissez bien les défauts de cet article</t>
  </si>
  <si>
    <t>Je viens de fermer la porte d’entrée au supermarché avant sa fermeture totale. Un client veut rentrer malgré tout et frappe violemment sur la porte vitrée. Que faites-vous ?</t>
  </si>
  <si>
    <t>Je lui explique que le magasin et les caisses sont fermés</t>
  </si>
  <si>
    <t>J’ouvre les portes et le laisse rentrer exceptionnellement</t>
  </si>
  <si>
    <t>Je lui ordonne de quitter les lieux immédiatement et le menace d’appeler les forces de l’ordre</t>
  </si>
  <si>
    <t>Je l’ignore et continue ma ronde de fermeture</t>
  </si>
  <si>
    <t>Lorsque l’agent observe des personnes en conflit dans son périmètre d’action, il doit ?</t>
  </si>
  <si>
    <t>Uniquement observer ce qui se passe</t>
  </si>
  <si>
    <t>Partir le plus vite possible</t>
  </si>
  <si>
    <t>Se poser en médiateur</t>
  </si>
  <si>
    <t>Prendre position avant de connaître l’origine du conflit</t>
  </si>
  <si>
    <t>Dans la communication non verbale, que peut signifier le fait de pointer quelqu’un du doigt ?</t>
  </si>
  <si>
    <t>Une attitude menaçante ou arrogante</t>
  </si>
  <si>
    <t>Une attitude de séduction</t>
  </si>
  <si>
    <t>Une attitude apaisante</t>
  </si>
  <si>
    <t>Une attitude conciliante</t>
  </si>
  <si>
    <t>Durant sa ronde un agent découvre une personne qui fume dans le local des archives, comment procède-t-il pour intervenir sans générer de conflit ?</t>
  </si>
  <si>
    <t>Lui confisquer ses cigarettes</t>
  </si>
  <si>
    <t>Retourner au PCS pour renseigner l’incident sur la main courante</t>
  </si>
  <si>
    <t>Laisser la personne terminer sa cigarette et lui demander de ne pas recommencer</t>
  </si>
  <si>
    <t>Se présenter, et rappeler la réglementation au contrevenant</t>
  </si>
  <si>
    <t>Que doit faire le chef de poste lorsque vous êtes en conflit avec l’un de vos collègues APS ?</t>
  </si>
  <si>
    <t>Attendre la dégradation de la situation pour offrir son aide</t>
  </si>
  <si>
    <t>Contacter immédiatement la hiérarchie et demander des sanctions</t>
  </si>
  <si>
    <t>Ne pas intervenir pour laisser la dispute s’estomper</t>
  </si>
  <si>
    <t>Réunir les agents concernés pour résoudre le problème</t>
  </si>
  <si>
    <r>
      <t xml:space="preserve">1 - </t>
    </r>
    <r>
      <rPr>
        <sz val="11"/>
        <color theme="1"/>
        <rFont val="Arial"/>
        <family val="2"/>
      </rPr>
      <t>Une consigne qui vous explique la procédure pour pénétrer dans un local où des matières toxiques sont entreposées en permanence est :|Une consigne générale|Une consigne particulière|Une consigne ponctuelle|Une consigne spéciale</t>
    </r>
  </si>
  <si>
    <t>E - Aucune des autres réponses</t>
  </si>
  <si>
    <t>2 - Une consigne Client, qui vous prévient que demain un VIP viendra visiter l’établissement est :|Une consigne générale|Une consigne permanente|Une consigne ponctuelle|Un consigne spéciale|Aucune des autres réponses</t>
  </si>
  <si>
    <t>3 - La consigne affichée à proximité des sorties concernant l’évacuation est :|Une consigne permanente|Une consigne particulière|Une consigne ponctuelle|Un consigne spéciale|Aucune des autres réponses</t>
  </si>
  <si>
    <t>4 - Quelle est la meilleure façon d’écrire une date sur la main courante papier ?|Le 17-10-30|Le 30/10/17|Le 30/10/2017|L’an 2017-10-30|Lundi 30 octobre 2017</t>
  </si>
  <si>
    <t>5 - Le compte rendu oral ou écrit est un moyen de communication :|Simple et direct avec sa hiérarchie|Qui reste interne à votre entreprise sans conséquence pénale|Il est effectué uniquement à l’aide d’un émetteur/récepteur|Il évite dans tous les cas de rédiger un rapport complet qui serait trop contraignant|Aucune des autres réponses</t>
  </si>
  <si>
    <t>6 - De quelle couleur est-il préférable d’écrire les interventions liées à l’incendie sur une main courante ?|En noir|En bleu|En rouge|En vert|Aucune des autres réponses</t>
  </si>
  <si>
    <t>7 - Une main courante doit-elle être ?|Chronologique|Datée|Factuelle|Informatisée ou manuscrite|Toutes les réponses précédentes sont exactes</t>
  </si>
  <si>
    <t>8 - La mise en place et l’utilisation d’une main courante est-elle soumise à une réglementation ?|Oui, c’est la loi du 12 juillet 1983 qui l’impose|Oui, c’est le CSI qui l’impose|Oui, c’est la convention collective qui l’impose|Non, mais elle permet de se protéger en cas de saisie par les autorités|Aucune des autres réponses</t>
  </si>
  <si>
    <t>9 - Les consignes spéciales de votre société de sécurité doivent-elles avoir un numéro séquentiel de version ?|Oui, pour pouvoir les ranger dans les archives|Oui, pour savoir si c’est la bonne version en vigueur|Non, puisqu’elles sont permanentes|Non, cela ne sert à rien|Aucune des autres réponses</t>
  </si>
  <si>
    <t>10 - Une main courante informatisée peut-elle être consultable à distance ?|Non, pour éviter tout piratage|Non, les informations doivent rester sur le site|Oui, le responsable pourra voir au fur et à mesure les événements|Oui, lorsque l’on veut la modifier en fin de journée|Aucune des autres réponses</t>
  </si>
  <si>
    <t>11 - Vous disposez d’une main courante informatisée, devez-vous quand même disposer d’une main courante papier ?|Oui, et on doit remplir les deux|Oui, dans l’éventualité où la main courante informatisée soit hors service|Non, puisqu’on peut tout imprimer plus tard|Non, cela ne sert à rien|Aucune des autres réponses</t>
  </si>
  <si>
    <t>12 - Une main courante a comme objectif :|De noter uniquement les interventions de la vacation|De noter uniquement les problèmes techniques|De transmettre uniquement des consignes|De relater tous les événements liés à la sécurité lors de la vacation|Aucune des autres réponses</t>
  </si>
  <si>
    <t>13 - Le compte rendu écrit est un moyen :|Qui constitue une preuve irréfutable|De signaler un fait circonstancié urgent et important|De noter sur un document brouillon avant de le rédiger au propre|De contrôle du travail effectué par les agents|Aucune des autres réponses</t>
  </si>
  <si>
    <t>14 - Concernant les rondes, que doit-on notifier sur la main courante ?|Le nom de l’agent effectuant la ronde|L’heure de retour de ronde|Les anomalies constatées|Les mesures prises en cas d’anomalie|Toutes les réponses sont bonnes</t>
  </si>
  <si>
    <t>15 - Un rapport circonstancié doit :|Indiquer l’ensemble des informations de l’incident|Uniquement indiquer les conséquences de l’incident|Uniquement indiquer les circonstances de l’incident|Proposer les solutions afin d’éviter que l’incident ne se reproduise|Aucune des autres réponses</t>
  </si>
  <si>
    <r>
      <t>16 - De quelle couleur est-il préférable d’écrire les événements quotidiens sur une main courante ?|</t>
    </r>
    <r>
      <rPr>
        <sz val="11.5"/>
        <color theme="1"/>
        <rFont val="Arial"/>
        <family val="2"/>
      </rPr>
      <t>En noir|En jaune|En rouge|En vert|Aucune des autres réponses</t>
    </r>
  </si>
  <si>
    <t>Une consigne qui vous explique la procédure pour pénétrer dans un local où des matières toxiques sont entreposées en permanence est :</t>
  </si>
  <si>
    <t>Une consigne générale</t>
  </si>
  <si>
    <t>Une consigne particulière</t>
  </si>
  <si>
    <t>Une consigne ponctuelle</t>
  </si>
  <si>
    <t>Une consigne spéciale</t>
  </si>
  <si>
    <t>Une consigne Client, qui vous prévient que demain un VIP viendra visiter l’établissement est :</t>
  </si>
  <si>
    <t>Une consigne permanente</t>
  </si>
  <si>
    <t>Un consigne spéciale</t>
  </si>
  <si>
    <t>La consigne affichée à proximité des sorties concernant l’évacuation est :</t>
  </si>
  <si>
    <t>Quelle est la meilleure façon d’écrire une date sur la main courante papier ?</t>
  </si>
  <si>
    <t>Le 17-10-30</t>
  </si>
  <si>
    <t>Le 30/10/17</t>
  </si>
  <si>
    <t>Le 30/10/2017</t>
  </si>
  <si>
    <t>L’an 2017-10-30</t>
  </si>
  <si>
    <t>Lundi 30 octobre 2017</t>
  </si>
  <si>
    <t>Le compte rendu oral ou écrit est un moyen de communication :</t>
  </si>
  <si>
    <t>Simple et direct avec sa hiérarchie</t>
  </si>
  <si>
    <t>Qui reste interne à votre entreprise sans conséquence pénale</t>
  </si>
  <si>
    <t>Il est effectué uniquement à l’aide d’un émetteur/récepteur</t>
  </si>
  <si>
    <t>Il évite dans tous les cas de rédiger un rapport complet qui serait trop contraignant</t>
  </si>
  <si>
    <t>De quelle couleur est-il préférable d’écrire les interventions liées à l’incendie sur une main courante ?</t>
  </si>
  <si>
    <t>En noir</t>
  </si>
  <si>
    <t>En bleu</t>
  </si>
  <si>
    <t>En rouge</t>
  </si>
  <si>
    <t>En vert</t>
  </si>
  <si>
    <t>Une main courante doit-elle être ?</t>
  </si>
  <si>
    <t>Chronologique</t>
  </si>
  <si>
    <t>Datée</t>
  </si>
  <si>
    <t>Factuelle</t>
  </si>
  <si>
    <t>Informatisée ou manuscrite</t>
  </si>
  <si>
    <t>Toutes les réponses précédentes sont exactes</t>
  </si>
  <si>
    <t>La mise en place et l’utilisation d’une main courante est-elle soumise à une réglementation ?</t>
  </si>
  <si>
    <t>Oui, c’est la loi du 12 juillet 1983 qui l’impose</t>
  </si>
  <si>
    <t>Oui, c’est le CSI qui l’impose</t>
  </si>
  <si>
    <t>Oui, c’est la convention collective qui l’impose</t>
  </si>
  <si>
    <t>Non, mais elle permet de se protéger en cas de saisie par les autorités</t>
  </si>
  <si>
    <t>Les consignes spéciales de votre société de sécurité doivent-elles avoir un numéro séquentiel de version ?</t>
  </si>
  <si>
    <t>Oui, pour pouvoir les ranger dans les archives</t>
  </si>
  <si>
    <t>Oui, pour savoir si c’est la bonne version en vigueur</t>
  </si>
  <si>
    <t>Non, puisqu’elles sont permanentes</t>
  </si>
  <si>
    <t>Non, cela ne sert à rien</t>
  </si>
  <si>
    <t>Une main courante informatisée peut-elle être consultable à distance ?</t>
  </si>
  <si>
    <t>Non, pour éviter tout piratage</t>
  </si>
  <si>
    <t>Non, les informations doivent rester sur le site</t>
  </si>
  <si>
    <t>Oui, le responsable pourra voir au fur et à mesure les événements</t>
  </si>
  <si>
    <t>Oui, lorsque l’on veut la modifier en fin de journée</t>
  </si>
  <si>
    <t>Vous disposez d’une main courante informatisée, devez-vous quand même disposer d’une main courante papier ?</t>
  </si>
  <si>
    <t>Oui, et on doit remplir les deux</t>
  </si>
  <si>
    <t>Oui, dans l’éventualité où la main courante informatisée soit hors service</t>
  </si>
  <si>
    <t>Non, puisqu’on peut tout imprimer plus tard</t>
  </si>
  <si>
    <t>Une main courante a comme objectif :</t>
  </si>
  <si>
    <t>De noter uniquement les interventions de la vacation</t>
  </si>
  <si>
    <t>De noter uniquement les problèmes techniques</t>
  </si>
  <si>
    <t>De transmettre uniquement des consignes</t>
  </si>
  <si>
    <t>De relater tous les événements liés à la sécurité lors de la vacation</t>
  </si>
  <si>
    <t>Le compte rendu écrit est un moyen :</t>
  </si>
  <si>
    <t>Qui constitue une preuve irréfutable</t>
  </si>
  <si>
    <t>De signaler un fait circonstancié urgent et important</t>
  </si>
  <si>
    <t>De noter sur un document brouillon avant de le rédiger au propre</t>
  </si>
  <si>
    <t>De contrôle du travail effectué par les agents</t>
  </si>
  <si>
    <t>Concernant les rondes, que doit-on notifier sur la main courante ?</t>
  </si>
  <si>
    <t>Le nom de l’agent effectuant la ronde</t>
  </si>
  <si>
    <t>L’heure de retour de ronde</t>
  </si>
  <si>
    <t>Les anomalies constatées</t>
  </si>
  <si>
    <t>Les mesures prises en cas d’anomalie</t>
  </si>
  <si>
    <t>Toutes les réponses sont bonnes</t>
  </si>
  <si>
    <t>Un rapport circonstancié doit :</t>
  </si>
  <si>
    <t>Indiquer l’ensemble des informations de l’incident</t>
  </si>
  <si>
    <t>Uniquement indiquer les conséquences de l’incident</t>
  </si>
  <si>
    <t>Uniquement indiquer les circonstances de l’incident</t>
  </si>
  <si>
    <t>Proposer les solutions afin d’éviter que l’incident ne se reproduise</t>
  </si>
  <si>
    <t>De quelle couleur est-il préférable d’écrire les événements quotidiens sur une main courante ?</t>
  </si>
  <si>
    <t>En jaune</t>
  </si>
  <si>
    <r>
      <t xml:space="preserve">        </t>
    </r>
    <r>
      <rPr>
        <sz val="12"/>
        <color theme="1"/>
        <rFont val="Arial"/>
        <family val="2"/>
      </rPr>
      <t>1 - D</t>
    </r>
    <r>
      <rPr>
        <sz val="11"/>
        <color theme="1"/>
        <rFont val="Arial"/>
        <family val="2"/>
      </rPr>
      <t>’après vous, une bonne présentation est-elle nécessaire durant votre service ?|Oui|Non|Cela dépend du poste occupé|Uniquement au contact du public|Aucune des autres réponses</t>
    </r>
  </si>
  <si>
    <r>
      <t xml:space="preserve">        </t>
    </r>
    <r>
      <rPr>
        <sz val="11"/>
        <color theme="1"/>
        <rFont val="Arial"/>
        <family val="2"/>
      </rPr>
      <t>2 - Une zone de protection volumétrique concerne :|Un objet précis|Une vitrine|Un local|Une clôture|Aucune des autres réponses</t>
    </r>
  </si>
  <si>
    <r>
      <t xml:space="preserve">        </t>
    </r>
    <r>
      <rPr>
        <sz val="11"/>
        <color theme="1"/>
        <rFont val="Arial"/>
        <family val="2"/>
      </rPr>
      <t>3 - Dans quelle condition un APS peut-il être amené à appréhender un individu ?|L’individu paraît suspect en ressortant du site sans dire “au revoir”|L’individu comment un délit ou un crime sur le site|L’individu refuse d’ouvrir son bagage à l’entrée de l’établissement|L’individu est sur le site pendant les heures d’ouverture et ne respecte pas le règlement intérieur|Aucune des autres réponses</t>
    </r>
  </si>
  <si>
    <r>
      <t xml:space="preserve">        </t>
    </r>
    <r>
      <rPr>
        <sz val="11"/>
        <color theme="1"/>
        <rFont val="Arial"/>
        <family val="2"/>
      </rPr>
      <t>4 - Vous êtes agent pré-vol, vous constatez qu’un de vos amis dissimule une bouteille de rhum dans son blouson et quitte le magasin par la sortie sans achats. Quelle est votre réaction ?|Vous ne faites rien car c’est un ami|VOus lui demandez de remettre la bouteille en place discrètement|Vous ne réagissez pas mais en parlerez avec lui après votre travail|Vous prévenez vos collègues pour une appréhension en sortie sans achats|Aucune des autres réponses</t>
    </r>
  </si>
  <si>
    <r>
      <t xml:space="preserve">        </t>
    </r>
    <r>
      <rPr>
        <sz val="11"/>
        <color theme="1"/>
        <rFont val="Arial"/>
        <family val="2"/>
      </rPr>
      <t>5 - Les acteurs de la sécurité privée doivent en priorité :|Comptabiliser les vols en magasin|Ne pas intervenir sur les accidents et les incendies|Aider la justice et les services de police|Favoriser les délits et les crimes|Aucune des autres réponses</t>
    </r>
  </si>
  <si>
    <r>
      <t xml:space="preserve">        </t>
    </r>
    <r>
      <rPr>
        <sz val="11"/>
        <color theme="1"/>
        <rFont val="Arial"/>
        <family val="2"/>
      </rPr>
      <t>6 - Au cours d’une appréhension n arrière-caisse, un individu vous porte un violent coup de poing au visage, vous cassant le nez :|Il n’y a rien à faire, ce sont les risques du métier, vous ferez plus attention la prochaine fois|Vous allez vous faire examiner par un médecin qui vous délivrera un arrêt de travail|Vous lui rendez la pareille étant en état de légitime défense|Vous ne pouvez pas déposer plainte contre la personne, c’est du ressort du magasin pour lequel vous travaillez|Aucune des autres réponses</t>
    </r>
  </si>
  <si>
    <r>
      <t xml:space="preserve">        </t>
    </r>
    <r>
      <rPr>
        <sz val="11"/>
        <color theme="1"/>
        <rFont val="Arial"/>
        <family val="2"/>
      </rPr>
      <t>7 - Indiquez une mission entrant dans le cadre d’une ronde de fermeture :|Distribuer le courrier|Contrôler la fermeture des fenêtres|Mettre en action les extincteurs|Arroser les plantes de l’accueil|Aucune des autres réponses</t>
    </r>
  </si>
  <si>
    <r>
      <t xml:space="preserve">        </t>
    </r>
    <r>
      <rPr>
        <sz val="11"/>
        <color theme="1"/>
        <rFont val="Arial"/>
        <family val="2"/>
      </rPr>
      <t>8 - Indiquez ce que l’on doit inscrire sur la main courante ?|Les alarmes techniques|Mes impressions en fin de journée|Les noms des agents de sécurité de repos|Les messages personnels|Aucune des autres réponses</t>
    </r>
  </si>
  <si>
    <r>
      <t xml:space="preserve">        </t>
    </r>
    <r>
      <rPr>
        <sz val="11"/>
        <color theme="1"/>
        <rFont val="Arial"/>
        <family val="2"/>
      </rPr>
      <t>9 - En ce qui concerne la ronde, un point dit sensible est :|Un point qui en cas d’atteinte pourrait handicaper le bon fonctionnement de l’entreprise|Un point qui a fait l’objet d’une non-conformité relevée lors d’un contrôle du CNAPS|Un point comportant un danger permanent|Un point convoité par les voleurs|Aucune des autres réponses</t>
    </r>
  </si>
  <si>
    <r>
      <t xml:space="preserve">        </t>
    </r>
    <r>
      <rPr>
        <sz val="11"/>
        <color theme="1"/>
        <rFont val="Arial"/>
        <family val="2"/>
      </rPr>
      <t>10 - Vous êtes agent en arrière caisse dans un magasin, pouvez-vous procéder à l’inspection visuelle des sacs d’achat de personnes déjà passées en caisse ?|Seulement en présence des forces de l’ordre|Oui, si vos consignes le précisent|Oui, comme bon vous semble|Uniquement si le plan Vigipirate est déclenché|Aucune des autres réponses</t>
    </r>
  </si>
  <si>
    <r>
      <t xml:space="preserve">        </t>
    </r>
    <r>
      <rPr>
        <sz val="11"/>
        <color theme="1"/>
        <rFont val="Arial"/>
        <family val="2"/>
      </rPr>
      <t>11 - Quels sont les différents moyens de communication mis à disposition d’un agent de sécurité ?|Les moyens de liaison|Les moyens d'alarme|Les moyens de protection|Les moyens télépathiques|Aucune des autres réponses</t>
    </r>
  </si>
  <si>
    <r>
      <t xml:space="preserve">        </t>
    </r>
    <r>
      <rPr>
        <sz val="11"/>
        <color theme="1"/>
        <rFont val="Arial"/>
        <family val="2"/>
      </rPr>
      <t>12 - Face à une réquisition légale ?|On peut refuser de l’exécuter s’il n’y a pas la présence d’un sceau du service de police ou de gendarmerie|On peut refuser de l’exécuter si on n’est pas en fonction d’agent de sécurité|On peut refuser de l’exécuter sans motif légitime|On ne peut sans motif légitime refuser de l’exécuter sous peine d’être poursuivi|Aucune des autres réponses</t>
    </r>
  </si>
  <si>
    <t>D’après vous, une bonne présentation est-elle nécessaire durant votre service ?</t>
  </si>
  <si>
    <t>Oui</t>
  </si>
  <si>
    <t>Non</t>
  </si>
  <si>
    <t>Cela dépend du poste occupé</t>
  </si>
  <si>
    <t>Uniquement au contact du public</t>
  </si>
  <si>
    <t>Une zone de protection volumétrique concerne :</t>
  </si>
  <si>
    <t>Un objet précis</t>
  </si>
  <si>
    <t>Une vitrine</t>
  </si>
  <si>
    <t>Un local</t>
  </si>
  <si>
    <t>Une clôture</t>
  </si>
  <si>
    <t>Dans quelle condition un APS peut-il être amené à appréhender un individu ?</t>
  </si>
  <si>
    <t>L’individu paraît suspect en ressortant du site sans dire “au revoir”</t>
  </si>
  <si>
    <t>L’individu comment un délit ou un crime sur le site</t>
  </si>
  <si>
    <t>L’individu refuse d’ouvrir son bagage à l’entrée de l’établissement</t>
  </si>
  <si>
    <t>L’individu est sur le site pendant les heures d’ouverture et ne respecte pas le règlement intérieur</t>
  </si>
  <si>
    <t>Vous êtes agent pré-vol, vous constatez qu’un de vos amis dissimule une bouteille de rhum dans son blouson et quitte le magasin par la sortie sans achats. Quelle est votre réaction ?</t>
  </si>
  <si>
    <t>Vous ne faites rien car c’est un ami</t>
  </si>
  <si>
    <t>VOus lui demandez de remettre la bouteille en place discrètement</t>
  </si>
  <si>
    <t>Vous ne réagissez pas mais en parlerez avec lui après votre travail</t>
  </si>
  <si>
    <t>Vous prévenez vos collègues pour une appréhension en sortie sans achats</t>
  </si>
  <si>
    <t>Les acteurs de la sécurité privée doivent en priorité :</t>
  </si>
  <si>
    <t>Comptabiliser les vols en magasin</t>
  </si>
  <si>
    <t>Ne pas intervenir sur les accidents et les incendies</t>
  </si>
  <si>
    <t>Aider la justice et les services de police</t>
  </si>
  <si>
    <t>Favoriser les délits et les crimes</t>
  </si>
  <si>
    <t>Au cours d’une appréhension n arrière-caisse, un individu vous porte un violent coup de poing au visage, vous cassant le nez :</t>
  </si>
  <si>
    <t>Il n’y a rien à faire, ce sont les risques du métier, vous ferez plus attention la prochaine fois</t>
  </si>
  <si>
    <t>Vous allez vous faire examiner par un médecin qui vous délivrera un arrêt de travail</t>
  </si>
  <si>
    <t>Vous lui rendez la pareille étant en état de légitime défense</t>
  </si>
  <si>
    <t>Vous ne pouvez pas déposer plainte contre la personne, c’est du ressort du magasin pour lequel vous travaillez</t>
  </si>
  <si>
    <t>Indiquez une mission entrant dans le cadre d’une ronde de fermeture :</t>
  </si>
  <si>
    <t>Distribuer le courrier</t>
  </si>
  <si>
    <t>Contrôler la fermeture des fenêtres</t>
  </si>
  <si>
    <t>Mettre en action les extincteurs</t>
  </si>
  <si>
    <t>Arroser les plantes de l’accueil</t>
  </si>
  <si>
    <t>Indiquez ce que l’on doit inscrire sur la main courante ?</t>
  </si>
  <si>
    <t>Les alarmes techniques</t>
  </si>
  <si>
    <t>Mes impressions en fin de journée</t>
  </si>
  <si>
    <t>Les noms des agents de sécurité de repos</t>
  </si>
  <si>
    <t>Les messages personnels</t>
  </si>
  <si>
    <t>En ce qui concerne la ronde, un point dit sensible est :</t>
  </si>
  <si>
    <t>Un point qui en cas d’atteinte pourrait handicaper le bon fonctionnement de l’entreprise</t>
  </si>
  <si>
    <t>Un point qui a fait l’objet d’une non-conformité relevée lors d’un contrôle du CNAPS</t>
  </si>
  <si>
    <t>Un point comportant un danger permanent</t>
  </si>
  <si>
    <t>Un point convoité par les voleurs</t>
  </si>
  <si>
    <t>Vous êtes agent en arrière caisse dans un magasin, pouvez-vous procéder à l’inspection visuelle des sacs d’achat de personnes déjà passées en caisse ?</t>
  </si>
  <si>
    <t>Seulement en présence des forces de l’ordre</t>
  </si>
  <si>
    <t>Oui, si vos consignes le précisent</t>
  </si>
  <si>
    <t>Oui, comme bon vous semble</t>
  </si>
  <si>
    <t>Uniquement si le plan Vigipirate est déclenché</t>
  </si>
  <si>
    <t>Quels sont les différents moyens de communication mis à disposition d’un agent de sécurité ?</t>
  </si>
  <si>
    <t>Les moyens de liaison</t>
  </si>
  <si>
    <t>Les moyens d'alarme</t>
  </si>
  <si>
    <t>Les moyens de protection</t>
  </si>
  <si>
    <t>Les moyens télépathiques</t>
  </si>
  <si>
    <t>Face à une réquisition légale ?</t>
  </si>
  <si>
    <t>On peut refuser de l’exécuter s’il n’y a pas la présence d’un sceau du service de police ou de gendarmerie</t>
  </si>
  <si>
    <t>On peut refuser de l’exécuter si on n’est pas en fonction d’agent de sécurité</t>
  </si>
  <si>
    <t>On peut refuser de l’exécuter sans motif légitime</t>
  </si>
  <si>
    <t>On ne peut sans motif légitime refuser de l’exécuter sous peine d’être poursuivi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</si>
</sst>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0000"/>
      <name val="Calibri"/>
      <scheme val="minor"/>
    </font>
    <font>
      <sz val="11"/>
      <color theme="1"/>
      <name val="Arial"/>
    </font>
    <font>
      <sz val="13"/>
      <color rgb="FF5B6673"/>
      <name val="Arial"/>
    </font>
    <font>
      <sz val="11"/>
      <color theme="1"/>
      <name val="Arial"/>
      <family val="2"/>
    </font>
    <font>
      <sz val="7"/>
      <color theme="1"/>
      <name val="Times New Roman"/>
      <family val="1"/>
    </font>
    <font>
      <sz val="12"/>
      <color theme="1"/>
      <name val="Arial"/>
      <family val="2"/>
    </font>
    <font>
      <sz val="11.5"/>
      <color theme="1"/>
      <name val="Arial"/>
      <family val="2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vertical="top"/>
    </xf>
    <xf numFmtId="0" fontId="3" fillId="0" borderId="0" xfId="1" applyFont="1"/>
    <xf numFmtId="0" fontId="2" fillId="0" borderId="0" xfId="1"/>
    <xf numFmtId="0" fontId="4" fillId="2" borderId="0" xfId="1" applyFont="1" applyFill="1"/>
    <xf numFmtId="0" fontId="6" fillId="0" borderId="0" xfId="0" applyFont="1" applyAlignment="1">
      <alignment horizontal="left" vertical="center"/>
    </xf>
    <xf numFmtId="0" fontId="1" fillId="3" borderId="1" xfId="0" applyFont="1" applyFill="1" applyBorder="1" applyAlignment="1">
      <alignment horizontal="center" vertical="top"/>
    </xf>
    <xf numFmtId="0" fontId="1" fillId="4" borderId="1" xfId="0" applyFont="1" applyFill="1" applyBorder="1" applyAlignment="1">
      <alignment horizontal="center" vertical="top"/>
    </xf>
    <xf numFmtId="0" fontId="0" fillId="4" borderId="0" xfId="0" applyFill="1" applyAlignment="1">
      <alignment vertical="top"/>
    </xf>
    <xf numFmtId="0" fontId="0" fillId="3" borderId="0" xfId="0" applyFill="1" applyAlignment="1">
      <alignment vertical="top"/>
    </xf>
    <xf numFmtId="0" fontId="0" fillId="0" borderId="0" xfId="0" applyAlignment="1">
      <alignment vertical="top" wrapText="1"/>
    </xf>
    <xf numFmtId="0" fontId="7" fillId="0" borderId="0" xfId="0" applyFont="1" applyAlignment="1">
      <alignment vertical="center"/>
    </xf>
    <xf numFmtId="0" fontId="5" fillId="0" borderId="0" xfId="0" applyFont="1" applyAlignment="1">
      <alignment vertical="center"/>
    </xf>
  </cellXfs>
  <cellStyles count="2">
    <cellStyle name="Normal" xfId="0" builtinId="0"/>
    <cellStyle name="Normal 2" xfId="1" xr:uid="{739EAF5D-6DEC-4933-BEAA-58326FF9FE6A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152400</xdr:colOff>
      <xdr:row>52</xdr:row>
      <xdr:rowOff>38100</xdr:rowOff>
    </xdr:from>
    <xdr:to>
      <xdr:col>19</xdr:col>
      <xdr:colOff>48376</xdr:colOff>
      <xdr:row>53</xdr:row>
      <xdr:rowOff>123864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B2F00D2B-4036-E83E-B4CA-09C9210D2B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992475" y="9944100"/>
          <a:ext cx="5382376" cy="276264"/>
        </a:xfrm>
        <a:prstGeom prst="rect">
          <a:avLst/>
        </a:prstGeom>
      </xdr:spPr>
    </xdr:pic>
    <xdr:clientData/>
  </xdr:twoCellAnchor>
  <xdr:twoCellAnchor editAs="oneCell">
    <xdr:from>
      <xdr:col>10</xdr:col>
      <xdr:colOff>257175</xdr:colOff>
      <xdr:row>41</xdr:row>
      <xdr:rowOff>171450</xdr:rowOff>
    </xdr:from>
    <xdr:to>
      <xdr:col>16</xdr:col>
      <xdr:colOff>285289</xdr:colOff>
      <xdr:row>43</xdr:row>
      <xdr:rowOff>152355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1B7D30C5-D40D-772C-9070-BF9FBF67A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097250" y="7981950"/>
          <a:ext cx="3685714" cy="361905"/>
        </a:xfrm>
        <a:prstGeom prst="rect">
          <a:avLst/>
        </a:prstGeom>
      </xdr:spPr>
    </xdr:pic>
    <xdr:clientData/>
  </xdr:twoCellAnchor>
  <xdr:twoCellAnchor editAs="oneCell">
    <xdr:from>
      <xdr:col>10</xdr:col>
      <xdr:colOff>219075</xdr:colOff>
      <xdr:row>68</xdr:row>
      <xdr:rowOff>152400</xdr:rowOff>
    </xdr:from>
    <xdr:to>
      <xdr:col>16</xdr:col>
      <xdr:colOff>543481</xdr:colOff>
      <xdr:row>70</xdr:row>
      <xdr:rowOff>85769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0634273F-B9AF-2D23-8CD4-5E346CEFB8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059150" y="13106400"/>
          <a:ext cx="3982006" cy="31436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"/>
  <sheetViews>
    <sheetView tabSelected="1" topLeftCell="A47" workbookViewId="0">
      <selection activeCell="A76" sqref="A76"/>
    </sheetView>
  </sheetViews>
  <sheetFormatPr baseColWidth="10" defaultColWidth="9.140625" defaultRowHeight="15" x14ac:dyDescent="0.25"/>
  <cols>
    <col min="1" max="1" width="6.28515625" style="9" customWidth="1"/>
    <col min="2" max="2" width="9.140625" style="9"/>
    <col min="3" max="8" width="32.140625" style="2" customWidth="1"/>
    <col min="9" max="9" width="20.140625" style="2" customWidth="1"/>
    <col min="10" max="10" width="9.140625" style="10"/>
    <col min="11" max="16384" width="9.140625" style="2"/>
  </cols>
  <sheetData>
    <row r="1" spans="1:10" x14ac:dyDescent="0.25">
      <c r="A1" s="8" t="s">
        <v>0</v>
      </c>
      <c r="B1" s="8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7" t="s">
        <v>9</v>
      </c>
    </row>
    <row r="2" spans="1:10" x14ac:dyDescent="0.25">
      <c r="A2" s="9" t="s">
        <v>10</v>
      </c>
      <c r="B2" s="9" t="s">
        <v>11</v>
      </c>
      <c r="C2" s="2" t="s">
        <v>59</v>
      </c>
      <c r="D2" s="2" t="s">
        <v>115</v>
      </c>
      <c r="E2" s="2" t="s">
        <v>116</v>
      </c>
      <c r="F2" s="2" t="s">
        <v>117</v>
      </c>
      <c r="G2" s="2" t="s">
        <v>118</v>
      </c>
      <c r="H2" s="2" t="s">
        <v>90</v>
      </c>
      <c r="I2" s="2" t="s">
        <v>119</v>
      </c>
      <c r="J2" s="10" t="s">
        <v>12</v>
      </c>
    </row>
    <row r="3" spans="1:10" x14ac:dyDescent="0.25">
      <c r="A3" s="9" t="s">
        <v>10</v>
      </c>
      <c r="B3" s="9" t="s">
        <v>13</v>
      </c>
      <c r="C3" s="2" t="s">
        <v>60</v>
      </c>
      <c r="D3" s="2" t="s">
        <v>120</v>
      </c>
      <c r="E3" s="2" t="s">
        <v>121</v>
      </c>
      <c r="F3" s="2" t="s">
        <v>122</v>
      </c>
      <c r="G3" s="2" t="s">
        <v>123</v>
      </c>
      <c r="H3" s="2" t="s">
        <v>90</v>
      </c>
      <c r="I3" s="2" t="s">
        <v>119</v>
      </c>
      <c r="J3" s="10" t="s">
        <v>14</v>
      </c>
    </row>
    <row r="4" spans="1:10" x14ac:dyDescent="0.25">
      <c r="A4" s="9" t="s">
        <v>10</v>
      </c>
      <c r="B4" s="9" t="s">
        <v>15</v>
      </c>
      <c r="C4" s="2" t="s">
        <v>61</v>
      </c>
      <c r="D4" s="2" t="s">
        <v>124</v>
      </c>
      <c r="E4" s="2" t="s">
        <v>125</v>
      </c>
      <c r="F4" s="2" t="s">
        <v>126</v>
      </c>
      <c r="G4" s="2" t="s">
        <v>127</v>
      </c>
      <c r="H4" s="2" t="s">
        <v>128</v>
      </c>
      <c r="I4" s="2" t="s">
        <v>90</v>
      </c>
      <c r="J4" s="10" t="s">
        <v>12</v>
      </c>
    </row>
    <row r="5" spans="1:10" x14ac:dyDescent="0.25">
      <c r="A5" s="9" t="s">
        <v>10</v>
      </c>
      <c r="B5" s="9" t="s">
        <v>16</v>
      </c>
      <c r="C5" s="2" t="s">
        <v>62</v>
      </c>
      <c r="D5" s="2" t="s">
        <v>129</v>
      </c>
      <c r="E5" s="2" t="s">
        <v>130</v>
      </c>
      <c r="F5" s="2" t="s">
        <v>131</v>
      </c>
      <c r="G5" s="2" t="s">
        <v>132</v>
      </c>
      <c r="H5" s="2" t="s">
        <v>90</v>
      </c>
      <c r="I5" s="2" t="s">
        <v>119</v>
      </c>
      <c r="J5" s="10" t="s">
        <v>14</v>
      </c>
    </row>
    <row r="6" spans="1:10" x14ac:dyDescent="0.25">
      <c r="A6" s="9" t="s">
        <v>10</v>
      </c>
      <c r="B6" s="9" t="s">
        <v>17</v>
      </c>
      <c r="C6" s="2" t="s">
        <v>63</v>
      </c>
      <c r="D6" s="2" t="s">
        <v>133</v>
      </c>
      <c r="E6" s="2" t="s">
        <v>134</v>
      </c>
      <c r="F6" s="2" t="s">
        <v>135</v>
      </c>
      <c r="G6" s="2" t="s">
        <v>136</v>
      </c>
      <c r="H6" s="2" t="s">
        <v>90</v>
      </c>
      <c r="I6" s="2" t="s">
        <v>119</v>
      </c>
      <c r="J6" s="10" t="s">
        <v>18</v>
      </c>
    </row>
    <row r="7" spans="1:10" x14ac:dyDescent="0.25">
      <c r="A7" s="9" t="s">
        <v>10</v>
      </c>
      <c r="B7" s="9" t="s">
        <v>19</v>
      </c>
      <c r="C7" s="2" t="s">
        <v>64</v>
      </c>
      <c r="D7" s="2" t="s">
        <v>137</v>
      </c>
      <c r="E7" s="2" t="s">
        <v>138</v>
      </c>
      <c r="F7" s="2" t="s">
        <v>139</v>
      </c>
      <c r="G7" s="2" t="s">
        <v>140</v>
      </c>
      <c r="H7" s="2" t="s">
        <v>90</v>
      </c>
      <c r="I7" s="2" t="s">
        <v>119</v>
      </c>
      <c r="J7" s="10" t="s">
        <v>12</v>
      </c>
    </row>
    <row r="8" spans="1:10" x14ac:dyDescent="0.25">
      <c r="A8" s="9" t="s">
        <v>10</v>
      </c>
      <c r="B8" s="9" t="s">
        <v>20</v>
      </c>
      <c r="C8" s="2" t="s">
        <v>65</v>
      </c>
      <c r="D8" s="2" t="s">
        <v>141</v>
      </c>
      <c r="E8" s="2" t="s">
        <v>142</v>
      </c>
      <c r="F8" s="2" t="s">
        <v>143</v>
      </c>
      <c r="G8" s="2" t="s">
        <v>144</v>
      </c>
      <c r="H8" s="2" t="s">
        <v>90</v>
      </c>
      <c r="I8" s="2" t="s">
        <v>119</v>
      </c>
      <c r="J8" s="10" t="s">
        <v>21</v>
      </c>
    </row>
    <row r="9" spans="1:10" x14ac:dyDescent="0.25">
      <c r="A9" s="9" t="s">
        <v>10</v>
      </c>
      <c r="B9" s="9" t="s">
        <v>22</v>
      </c>
      <c r="C9" s="2" t="s">
        <v>66</v>
      </c>
      <c r="D9" s="2" t="s">
        <v>145</v>
      </c>
      <c r="E9" s="2" t="s">
        <v>146</v>
      </c>
      <c r="F9" s="2" t="s">
        <v>147</v>
      </c>
      <c r="G9" s="2" t="s">
        <v>148</v>
      </c>
      <c r="H9" s="2" t="s">
        <v>90</v>
      </c>
      <c r="I9" s="2" t="s">
        <v>119</v>
      </c>
      <c r="J9" s="10" t="s">
        <v>23</v>
      </c>
    </row>
    <row r="10" spans="1:10" x14ac:dyDescent="0.25">
      <c r="A10" s="9" t="s">
        <v>10</v>
      </c>
      <c r="B10" s="9" t="s">
        <v>24</v>
      </c>
      <c r="C10" s="2" t="s">
        <v>67</v>
      </c>
      <c r="D10" s="2" t="s">
        <v>149</v>
      </c>
      <c r="E10" s="2" t="s">
        <v>150</v>
      </c>
      <c r="F10" s="2" t="s">
        <v>151</v>
      </c>
      <c r="G10" s="2" t="s">
        <v>152</v>
      </c>
      <c r="H10" s="2" t="s">
        <v>90</v>
      </c>
      <c r="I10" s="2" t="s">
        <v>119</v>
      </c>
      <c r="J10" s="10" t="s">
        <v>14</v>
      </c>
    </row>
    <row r="11" spans="1:10" x14ac:dyDescent="0.25">
      <c r="A11" s="9" t="s">
        <v>10</v>
      </c>
      <c r="B11" s="9" t="s">
        <v>25</v>
      </c>
      <c r="C11" s="2" t="s">
        <v>68</v>
      </c>
      <c r="D11" s="2" t="s">
        <v>153</v>
      </c>
      <c r="E11" s="2" t="s">
        <v>154</v>
      </c>
      <c r="F11" s="2" t="s">
        <v>155</v>
      </c>
      <c r="G11" s="2" t="s">
        <v>156</v>
      </c>
      <c r="H11" s="2" t="s">
        <v>90</v>
      </c>
      <c r="I11" s="2" t="s">
        <v>119</v>
      </c>
      <c r="J11" s="10" t="s">
        <v>18</v>
      </c>
    </row>
    <row r="12" spans="1:10" x14ac:dyDescent="0.25">
      <c r="A12" s="9" t="s">
        <v>10</v>
      </c>
      <c r="B12" s="9" t="s">
        <v>26</v>
      </c>
      <c r="C12" s="2" t="s">
        <v>69</v>
      </c>
      <c r="D12" s="2" t="s">
        <v>157</v>
      </c>
      <c r="E12" s="2" t="s">
        <v>158</v>
      </c>
      <c r="F12" s="2" t="s">
        <v>159</v>
      </c>
      <c r="G12" s="2" t="s">
        <v>160</v>
      </c>
      <c r="H12" s="2" t="s">
        <v>90</v>
      </c>
      <c r="I12" s="2" t="s">
        <v>119</v>
      </c>
      <c r="J12" s="10" t="s">
        <v>21</v>
      </c>
    </row>
    <row r="13" spans="1:10" x14ac:dyDescent="0.25">
      <c r="A13" s="9" t="s">
        <v>10</v>
      </c>
      <c r="B13" s="9" t="s">
        <v>27</v>
      </c>
      <c r="C13" s="2" t="s">
        <v>70</v>
      </c>
      <c r="D13" s="2" t="s">
        <v>161</v>
      </c>
      <c r="E13" s="2" t="s">
        <v>162</v>
      </c>
      <c r="F13" s="2" t="s">
        <v>163</v>
      </c>
      <c r="G13" s="2" t="s">
        <v>164</v>
      </c>
      <c r="H13" s="2" t="s">
        <v>90</v>
      </c>
      <c r="I13" s="2" t="s">
        <v>119</v>
      </c>
      <c r="J13" s="10" t="s">
        <v>18</v>
      </c>
    </row>
    <row r="14" spans="1:10" x14ac:dyDescent="0.25">
      <c r="A14" s="9" t="s">
        <v>10</v>
      </c>
      <c r="B14" s="9" t="s">
        <v>28</v>
      </c>
      <c r="C14" s="2" t="s">
        <v>71</v>
      </c>
      <c r="D14" s="2" t="s">
        <v>165</v>
      </c>
      <c r="E14" s="2" t="s">
        <v>166</v>
      </c>
      <c r="F14" s="2" t="s">
        <v>167</v>
      </c>
      <c r="G14" s="2" t="s">
        <v>168</v>
      </c>
      <c r="H14" s="2" t="s">
        <v>90</v>
      </c>
      <c r="I14" s="2" t="s">
        <v>119</v>
      </c>
      <c r="J14" s="10" t="s">
        <v>14</v>
      </c>
    </row>
    <row r="15" spans="1:10" x14ac:dyDescent="0.25">
      <c r="A15" s="9" t="s">
        <v>10</v>
      </c>
      <c r="B15" s="9" t="s">
        <v>29</v>
      </c>
      <c r="C15" s="2" t="s">
        <v>72</v>
      </c>
      <c r="D15" s="2" t="s">
        <v>169</v>
      </c>
      <c r="E15" s="2" t="s">
        <v>170</v>
      </c>
      <c r="F15" s="2" t="s">
        <v>171</v>
      </c>
      <c r="G15" s="2" t="s">
        <v>172</v>
      </c>
      <c r="H15" s="2" t="s">
        <v>90</v>
      </c>
      <c r="I15" s="2" t="s">
        <v>119</v>
      </c>
      <c r="J15" s="10" t="s">
        <v>12</v>
      </c>
    </row>
    <row r="16" spans="1:10" x14ac:dyDescent="0.25">
      <c r="A16" s="9" t="s">
        <v>10</v>
      </c>
      <c r="B16" s="9" t="s">
        <v>30</v>
      </c>
      <c r="C16" s="2" t="s">
        <v>73</v>
      </c>
      <c r="D16" s="2" t="s">
        <v>14</v>
      </c>
      <c r="E16" s="2" t="s">
        <v>21</v>
      </c>
      <c r="F16" s="2" t="s">
        <v>18</v>
      </c>
      <c r="G16" s="2" t="s">
        <v>23</v>
      </c>
      <c r="H16" s="2" t="s">
        <v>90</v>
      </c>
      <c r="I16" s="2" t="s">
        <v>119</v>
      </c>
      <c r="J16" s="10" t="s">
        <v>14</v>
      </c>
    </row>
    <row r="17" spans="1:10" x14ac:dyDescent="0.25">
      <c r="A17" s="9" t="s">
        <v>10</v>
      </c>
      <c r="B17" s="9" t="s">
        <v>31</v>
      </c>
      <c r="C17" s="2" t="s">
        <v>74</v>
      </c>
      <c r="D17" s="2" t="s">
        <v>173</v>
      </c>
      <c r="E17" s="2" t="s">
        <v>174</v>
      </c>
      <c r="F17" s="2" t="s">
        <v>175</v>
      </c>
      <c r="G17" s="2" t="s">
        <v>176</v>
      </c>
      <c r="H17" s="2" t="s">
        <v>90</v>
      </c>
      <c r="I17" s="2" t="s">
        <v>119</v>
      </c>
      <c r="J17" s="10" t="s">
        <v>21</v>
      </c>
    </row>
    <row r="18" spans="1:10" x14ac:dyDescent="0.25">
      <c r="A18" s="9" t="s">
        <v>10</v>
      </c>
      <c r="B18" s="9" t="s">
        <v>32</v>
      </c>
      <c r="C18" s="2" t="s">
        <v>75</v>
      </c>
      <c r="D18" s="2" t="s">
        <v>177</v>
      </c>
      <c r="E18" s="2" t="s">
        <v>178</v>
      </c>
      <c r="F18" s="2" t="s">
        <v>179</v>
      </c>
      <c r="G18" s="2" t="s">
        <v>180</v>
      </c>
      <c r="H18" s="2" t="s">
        <v>90</v>
      </c>
      <c r="I18" s="2" t="s">
        <v>119</v>
      </c>
      <c r="J18" s="10" t="s">
        <v>21</v>
      </c>
    </row>
    <row r="19" spans="1:10" x14ac:dyDescent="0.25">
      <c r="A19" s="9" t="s">
        <v>10</v>
      </c>
      <c r="B19" s="9" t="s">
        <v>33</v>
      </c>
      <c r="C19" s="2" t="s">
        <v>76</v>
      </c>
      <c r="D19" s="2" t="s">
        <v>181</v>
      </c>
      <c r="E19" s="2" t="s">
        <v>182</v>
      </c>
      <c r="F19" s="2" t="s">
        <v>183</v>
      </c>
      <c r="G19" s="2" t="s">
        <v>184</v>
      </c>
      <c r="H19" s="2" t="s">
        <v>91</v>
      </c>
      <c r="I19" s="2" t="s">
        <v>119</v>
      </c>
      <c r="J19" s="10" t="s">
        <v>23</v>
      </c>
    </row>
    <row r="20" spans="1:10" x14ac:dyDescent="0.25">
      <c r="A20" s="9" t="s">
        <v>10</v>
      </c>
      <c r="B20" s="9" t="s">
        <v>34</v>
      </c>
      <c r="C20" s="2" t="s">
        <v>77</v>
      </c>
      <c r="D20" s="2" t="s">
        <v>185</v>
      </c>
      <c r="E20" s="2" t="s">
        <v>186</v>
      </c>
      <c r="F20" s="2" t="s">
        <v>187</v>
      </c>
      <c r="G20" s="2" t="s">
        <v>188</v>
      </c>
      <c r="H20" s="2" t="s">
        <v>90</v>
      </c>
      <c r="I20" s="2" t="s">
        <v>119</v>
      </c>
      <c r="J20" s="10" t="s">
        <v>18</v>
      </c>
    </row>
    <row r="21" spans="1:10" x14ac:dyDescent="0.25">
      <c r="A21" s="9" t="s">
        <v>10</v>
      </c>
      <c r="B21" s="9" t="s">
        <v>35</v>
      </c>
      <c r="C21" s="2" t="s">
        <v>78</v>
      </c>
      <c r="D21" s="2" t="s">
        <v>189</v>
      </c>
      <c r="E21" s="2" t="s">
        <v>190</v>
      </c>
      <c r="F21" s="2" t="s">
        <v>191</v>
      </c>
      <c r="G21" s="2" t="s">
        <v>192</v>
      </c>
      <c r="H21" s="2" t="s">
        <v>90</v>
      </c>
      <c r="I21" s="2" t="s">
        <v>119</v>
      </c>
      <c r="J21" s="10" t="s">
        <v>12</v>
      </c>
    </row>
    <row r="22" spans="1:10" x14ac:dyDescent="0.25">
      <c r="A22" s="9" t="s">
        <v>10</v>
      </c>
      <c r="B22" s="9" t="s">
        <v>36</v>
      </c>
      <c r="C22" s="2" t="s">
        <v>79</v>
      </c>
      <c r="D22" s="2" t="s">
        <v>193</v>
      </c>
      <c r="E22" s="2" t="s">
        <v>194</v>
      </c>
      <c r="F22" s="2" t="s">
        <v>195</v>
      </c>
      <c r="G22" s="2" t="s">
        <v>196</v>
      </c>
      <c r="H22" s="2" t="s">
        <v>90</v>
      </c>
      <c r="I22" s="2" t="s">
        <v>119</v>
      </c>
      <c r="J22" s="10" t="s">
        <v>21</v>
      </c>
    </row>
    <row r="23" spans="1:10" x14ac:dyDescent="0.25">
      <c r="A23" s="9" t="s">
        <v>10</v>
      </c>
      <c r="B23" s="9" t="s">
        <v>37</v>
      </c>
      <c r="C23" s="2" t="s">
        <v>80</v>
      </c>
      <c r="D23" s="2" t="s">
        <v>197</v>
      </c>
      <c r="E23" s="2" t="s">
        <v>198</v>
      </c>
      <c r="F23" s="2" t="s">
        <v>199</v>
      </c>
      <c r="G23" s="2" t="s">
        <v>200</v>
      </c>
      <c r="H23" s="2" t="s">
        <v>90</v>
      </c>
      <c r="I23" s="2" t="s">
        <v>119</v>
      </c>
      <c r="J23" s="10" t="s">
        <v>23</v>
      </c>
    </row>
    <row r="24" spans="1:10" x14ac:dyDescent="0.25">
      <c r="A24" s="9" t="s">
        <v>10</v>
      </c>
      <c r="B24" s="9" t="s">
        <v>38</v>
      </c>
      <c r="C24" s="2" t="s">
        <v>81</v>
      </c>
      <c r="D24" s="2" t="s">
        <v>201</v>
      </c>
      <c r="E24" s="2" t="s">
        <v>202</v>
      </c>
      <c r="F24" s="2" t="s">
        <v>203</v>
      </c>
      <c r="G24" s="2" t="s">
        <v>204</v>
      </c>
      <c r="H24" s="2" t="s">
        <v>90</v>
      </c>
      <c r="I24" s="2" t="s">
        <v>119</v>
      </c>
      <c r="J24" s="10" t="s">
        <v>18</v>
      </c>
    </row>
    <row r="25" spans="1:10" x14ac:dyDescent="0.25">
      <c r="A25" s="9" t="s">
        <v>10</v>
      </c>
      <c r="B25" s="9" t="s">
        <v>39</v>
      </c>
      <c r="C25" s="2" t="s">
        <v>82</v>
      </c>
      <c r="D25" s="2" t="s">
        <v>205</v>
      </c>
      <c r="E25" s="2" t="s">
        <v>206</v>
      </c>
      <c r="F25" s="2" t="s">
        <v>207</v>
      </c>
      <c r="G25" s="2" t="s">
        <v>208</v>
      </c>
      <c r="H25" s="2" t="s">
        <v>90</v>
      </c>
      <c r="I25" s="2" t="s">
        <v>119</v>
      </c>
      <c r="J25" s="10" t="s">
        <v>12</v>
      </c>
    </row>
    <row r="26" spans="1:10" x14ac:dyDescent="0.25">
      <c r="A26" s="9" t="s">
        <v>10</v>
      </c>
      <c r="B26" s="9" t="s">
        <v>40</v>
      </c>
      <c r="C26" s="2" t="s">
        <v>83</v>
      </c>
      <c r="D26" s="2" t="s">
        <v>209</v>
      </c>
      <c r="E26" s="2" t="s">
        <v>210</v>
      </c>
      <c r="F26" s="2" t="s">
        <v>211</v>
      </c>
      <c r="G26" s="2" t="s">
        <v>212</v>
      </c>
      <c r="H26" s="2" t="s">
        <v>90</v>
      </c>
      <c r="I26" s="2" t="s">
        <v>119</v>
      </c>
      <c r="J26" s="10" t="s">
        <v>21</v>
      </c>
    </row>
    <row r="27" spans="1:10" x14ac:dyDescent="0.25">
      <c r="A27" s="9" t="s">
        <v>10</v>
      </c>
      <c r="B27" s="9" t="s">
        <v>41</v>
      </c>
      <c r="C27" s="2" t="s">
        <v>84</v>
      </c>
      <c r="D27" s="2" t="s">
        <v>213</v>
      </c>
      <c r="E27" s="2" t="s">
        <v>214</v>
      </c>
      <c r="F27" s="2" t="s">
        <v>215</v>
      </c>
      <c r="G27" s="2" t="s">
        <v>216</v>
      </c>
      <c r="H27" s="2" t="s">
        <v>90</v>
      </c>
      <c r="I27" s="2" t="s">
        <v>119</v>
      </c>
      <c r="J27" s="10" t="s">
        <v>21</v>
      </c>
    </row>
    <row r="28" spans="1:10" x14ac:dyDescent="0.25">
      <c r="A28" s="9" t="s">
        <v>10</v>
      </c>
      <c r="B28" s="9" t="s">
        <v>42</v>
      </c>
      <c r="C28" s="2" t="s">
        <v>85</v>
      </c>
      <c r="D28" s="2" t="s">
        <v>217</v>
      </c>
      <c r="E28" s="2" t="s">
        <v>218</v>
      </c>
      <c r="F28" s="2" t="s">
        <v>219</v>
      </c>
      <c r="G28" s="2" t="s">
        <v>220</v>
      </c>
      <c r="H28" s="2" t="s">
        <v>90</v>
      </c>
      <c r="I28" s="2" t="s">
        <v>119</v>
      </c>
      <c r="J28" s="10" t="s">
        <v>21</v>
      </c>
    </row>
    <row r="29" spans="1:10" x14ac:dyDescent="0.25">
      <c r="A29" s="9" t="s">
        <v>10</v>
      </c>
      <c r="B29" s="9" t="s">
        <v>43</v>
      </c>
      <c r="C29" s="2" t="s">
        <v>86</v>
      </c>
      <c r="D29" s="2" t="s">
        <v>221</v>
      </c>
      <c r="E29" s="2" t="s">
        <v>222</v>
      </c>
      <c r="F29" s="2" t="s">
        <v>223</v>
      </c>
      <c r="G29" s="2" t="s">
        <v>224</v>
      </c>
      <c r="H29" s="2" t="s">
        <v>90</v>
      </c>
      <c r="I29" s="2" t="s">
        <v>119</v>
      </c>
      <c r="J29" s="10" t="s">
        <v>14</v>
      </c>
    </row>
    <row r="30" spans="1:10" x14ac:dyDescent="0.25">
      <c r="A30" s="9" t="s">
        <v>10</v>
      </c>
      <c r="B30" s="9" t="s">
        <v>44</v>
      </c>
      <c r="C30" s="2" t="s">
        <v>87</v>
      </c>
      <c r="D30" s="2" t="s">
        <v>225</v>
      </c>
      <c r="E30" s="2" t="s">
        <v>226</v>
      </c>
      <c r="F30" s="2" t="s">
        <v>227</v>
      </c>
      <c r="G30" s="2" t="s">
        <v>228</v>
      </c>
      <c r="H30" s="2" t="s">
        <v>90</v>
      </c>
      <c r="I30" s="2" t="s">
        <v>119</v>
      </c>
      <c r="J30" s="10" t="s">
        <v>14</v>
      </c>
    </row>
    <row r="31" spans="1:10" x14ac:dyDescent="0.25">
      <c r="A31" s="9" t="s">
        <v>10</v>
      </c>
      <c r="B31" s="9" t="s">
        <v>45</v>
      </c>
      <c r="C31" s="2" t="s">
        <v>88</v>
      </c>
      <c r="D31" s="2" t="s">
        <v>229</v>
      </c>
      <c r="E31" s="2" t="s">
        <v>230</v>
      </c>
      <c r="F31" s="2" t="s">
        <v>231</v>
      </c>
      <c r="G31" s="2" t="s">
        <v>232</v>
      </c>
      <c r="H31" s="2" t="s">
        <v>90</v>
      </c>
      <c r="I31" s="2" t="s">
        <v>119</v>
      </c>
      <c r="J31" s="10" t="s">
        <v>12</v>
      </c>
    </row>
    <row r="32" spans="1:10" x14ac:dyDescent="0.25">
      <c r="A32" s="9" t="s">
        <v>10</v>
      </c>
      <c r="B32" s="9" t="s">
        <v>46</v>
      </c>
      <c r="C32" s="2" t="s">
        <v>47</v>
      </c>
      <c r="D32" s="2" t="s">
        <v>94</v>
      </c>
      <c r="E32" s="2" t="s">
        <v>102</v>
      </c>
      <c r="F32" s="2" t="s">
        <v>103</v>
      </c>
      <c r="G32" s="2" t="s">
        <v>104</v>
      </c>
      <c r="H32" s="2" t="s">
        <v>90</v>
      </c>
      <c r="I32" s="2" t="s">
        <v>119</v>
      </c>
      <c r="J32" s="10" t="s">
        <v>18</v>
      </c>
    </row>
    <row r="33" spans="1:10" x14ac:dyDescent="0.25">
      <c r="A33" s="9" t="s">
        <v>10</v>
      </c>
      <c r="B33" s="9" t="s">
        <v>48</v>
      </c>
      <c r="C33" s="2" t="s">
        <v>49</v>
      </c>
      <c r="D33" s="2" t="s">
        <v>95</v>
      </c>
      <c r="E33" s="2" t="s">
        <v>101</v>
      </c>
      <c r="F33" s="2" t="s">
        <v>105</v>
      </c>
      <c r="G33" s="2" t="s">
        <v>106</v>
      </c>
      <c r="H33" s="2" t="s">
        <v>90</v>
      </c>
      <c r="I33" s="2" t="s">
        <v>119</v>
      </c>
      <c r="J33" s="10" t="s">
        <v>21</v>
      </c>
    </row>
    <row r="34" spans="1:10" x14ac:dyDescent="0.25">
      <c r="A34" s="9" t="s">
        <v>10</v>
      </c>
      <c r="B34" s="9" t="s">
        <v>50</v>
      </c>
      <c r="C34" s="2" t="s">
        <v>51</v>
      </c>
      <c r="D34" s="2" t="s">
        <v>96</v>
      </c>
      <c r="E34" s="2" t="s">
        <v>100</v>
      </c>
      <c r="F34" s="2" t="s">
        <v>107</v>
      </c>
      <c r="G34" s="2" t="s">
        <v>108</v>
      </c>
      <c r="H34" s="2" t="s">
        <v>90</v>
      </c>
      <c r="I34" s="2" t="s">
        <v>119</v>
      </c>
      <c r="J34" s="10" t="s">
        <v>14</v>
      </c>
    </row>
    <row r="35" spans="1:10" x14ac:dyDescent="0.25">
      <c r="A35" s="9" t="s">
        <v>10</v>
      </c>
      <c r="B35" s="9" t="s">
        <v>52</v>
      </c>
      <c r="C35" s="2" t="s">
        <v>53</v>
      </c>
      <c r="D35" s="2" t="s">
        <v>97</v>
      </c>
      <c r="E35" s="2" t="s">
        <v>109</v>
      </c>
      <c r="F35" s="2" t="s">
        <v>110</v>
      </c>
      <c r="G35" s="2" t="s">
        <v>111</v>
      </c>
      <c r="H35" s="2" t="s">
        <v>90</v>
      </c>
      <c r="I35" s="2" t="s">
        <v>119</v>
      </c>
      <c r="J35" s="10" t="s">
        <v>18</v>
      </c>
    </row>
    <row r="36" spans="1:10" x14ac:dyDescent="0.25">
      <c r="A36" s="9" t="s">
        <v>10</v>
      </c>
      <c r="B36" s="9" t="s">
        <v>54</v>
      </c>
      <c r="C36" s="2" t="s">
        <v>55</v>
      </c>
      <c r="D36" s="11" t="s">
        <v>98</v>
      </c>
      <c r="E36" s="2" t="s">
        <v>112</v>
      </c>
      <c r="F36" s="2" t="s">
        <v>113</v>
      </c>
      <c r="G36" s="2" t="s">
        <v>114</v>
      </c>
      <c r="H36" s="2" t="s">
        <v>92</v>
      </c>
      <c r="I36" s="2" t="s">
        <v>119</v>
      </c>
      <c r="J36" s="10" t="s">
        <v>23</v>
      </c>
    </row>
    <row r="37" spans="1:10" x14ac:dyDescent="0.25">
      <c r="A37" s="9" t="s">
        <v>10</v>
      </c>
      <c r="B37" s="9" t="s">
        <v>56</v>
      </c>
      <c r="C37" s="2" t="s">
        <v>57</v>
      </c>
      <c r="D37" s="11" t="s">
        <v>99</v>
      </c>
      <c r="E37" s="2" t="s">
        <v>233</v>
      </c>
      <c r="F37" s="2" t="s">
        <v>234</v>
      </c>
      <c r="G37" s="2" t="s">
        <v>235</v>
      </c>
      <c r="H37" s="2" t="s">
        <v>93</v>
      </c>
      <c r="I37" s="2" t="s">
        <v>119</v>
      </c>
      <c r="J37" s="10" t="s">
        <v>21</v>
      </c>
    </row>
    <row r="38" spans="1:10" x14ac:dyDescent="0.25">
      <c r="A38" s="9" t="s">
        <v>10</v>
      </c>
      <c r="B38" s="9" t="s">
        <v>58</v>
      </c>
      <c r="C38" s="2" t="s">
        <v>89</v>
      </c>
      <c r="D38" s="2" t="s">
        <v>236</v>
      </c>
      <c r="E38" s="2" t="s">
        <v>237</v>
      </c>
      <c r="F38" s="2" t="s">
        <v>238</v>
      </c>
      <c r="G38" s="2" t="s">
        <v>239</v>
      </c>
      <c r="H38" s="2" t="s">
        <v>90</v>
      </c>
      <c r="I38" s="2" t="s">
        <v>119</v>
      </c>
      <c r="J38" s="10" t="s">
        <v>14</v>
      </c>
    </row>
    <row r="39" spans="1:10" x14ac:dyDescent="0.25">
      <c r="A39" s="9" t="s">
        <v>244</v>
      </c>
      <c r="B39" s="9" t="s">
        <v>11</v>
      </c>
      <c r="C39" s="2" t="s">
        <v>280</v>
      </c>
      <c r="D39" s="2" t="s">
        <v>281</v>
      </c>
      <c r="E39" s="2" t="s">
        <v>282</v>
      </c>
      <c r="F39" s="2" t="s">
        <v>283</v>
      </c>
      <c r="G39" s="2" t="s">
        <v>284</v>
      </c>
      <c r="H39" s="2" t="s">
        <v>90</v>
      </c>
      <c r="J39" s="10" t="s">
        <v>18</v>
      </c>
    </row>
    <row r="40" spans="1:10" x14ac:dyDescent="0.25">
      <c r="A40" s="9" t="s">
        <v>244</v>
      </c>
      <c r="B40" s="9" t="s">
        <v>13</v>
      </c>
      <c r="C40" s="2" t="s">
        <v>285</v>
      </c>
      <c r="D40" s="2" t="s">
        <v>286</v>
      </c>
      <c r="E40" s="2" t="s">
        <v>287</v>
      </c>
      <c r="F40" s="2" t="s">
        <v>288</v>
      </c>
      <c r="G40" s="2" t="s">
        <v>289</v>
      </c>
      <c r="H40" s="2" t="s">
        <v>90</v>
      </c>
      <c r="J40" s="10" t="s">
        <v>21</v>
      </c>
    </row>
    <row r="41" spans="1:10" x14ac:dyDescent="0.25">
      <c r="A41" s="9" t="s">
        <v>244</v>
      </c>
      <c r="B41" s="9" t="s">
        <v>15</v>
      </c>
      <c r="C41" s="2" t="s">
        <v>290</v>
      </c>
      <c r="D41" s="2" t="s">
        <v>291</v>
      </c>
      <c r="E41" s="2" t="s">
        <v>292</v>
      </c>
      <c r="F41" s="2" t="s">
        <v>293</v>
      </c>
      <c r="G41" s="2" t="s">
        <v>294</v>
      </c>
      <c r="H41" s="2" t="s">
        <v>90</v>
      </c>
      <c r="J41" s="10" t="s">
        <v>12</v>
      </c>
    </row>
    <row r="42" spans="1:10" x14ac:dyDescent="0.25">
      <c r="A42" s="9" t="s">
        <v>244</v>
      </c>
      <c r="B42" s="9" t="s">
        <v>16</v>
      </c>
      <c r="C42" s="2" t="s">
        <v>295</v>
      </c>
      <c r="D42" s="2" t="s">
        <v>296</v>
      </c>
      <c r="E42" s="2" t="s">
        <v>297</v>
      </c>
      <c r="F42" s="2" t="s">
        <v>298</v>
      </c>
      <c r="G42" s="2" t="s">
        <v>299</v>
      </c>
      <c r="H42" s="2" t="s">
        <v>90</v>
      </c>
      <c r="J42" s="10" t="s">
        <v>14</v>
      </c>
    </row>
    <row r="43" spans="1:10" x14ac:dyDescent="0.25">
      <c r="A43" s="9" t="s">
        <v>244</v>
      </c>
      <c r="B43" s="9" t="s">
        <v>17</v>
      </c>
      <c r="C43" s="2" t="s">
        <v>300</v>
      </c>
      <c r="D43" s="2" t="s">
        <v>301</v>
      </c>
      <c r="E43" s="2" t="s">
        <v>302</v>
      </c>
      <c r="F43" s="2" t="s">
        <v>303</v>
      </c>
      <c r="G43" s="2" t="s">
        <v>304</v>
      </c>
      <c r="H43" s="2" t="s">
        <v>90</v>
      </c>
      <c r="J43" s="10" t="s">
        <v>21</v>
      </c>
    </row>
    <row r="44" spans="1:10" x14ac:dyDescent="0.25">
      <c r="A44" s="9" t="s">
        <v>244</v>
      </c>
      <c r="B44" s="9" t="s">
        <v>19</v>
      </c>
      <c r="C44" s="2" t="s">
        <v>305</v>
      </c>
      <c r="D44" s="2" t="s">
        <v>306</v>
      </c>
      <c r="E44" s="2" t="s">
        <v>307</v>
      </c>
      <c r="F44" s="2" t="s">
        <v>308</v>
      </c>
      <c r="G44" s="2" t="s">
        <v>309</v>
      </c>
      <c r="H44" s="2" t="s">
        <v>90</v>
      </c>
      <c r="J44" s="10" t="s">
        <v>14</v>
      </c>
    </row>
    <row r="45" spans="1:10" x14ac:dyDescent="0.25">
      <c r="A45" s="9" t="s">
        <v>244</v>
      </c>
      <c r="B45" s="9" t="s">
        <v>20</v>
      </c>
      <c r="C45" s="2" t="s">
        <v>310</v>
      </c>
      <c r="D45" s="2" t="s">
        <v>311</v>
      </c>
      <c r="E45" s="2" t="s">
        <v>312</v>
      </c>
      <c r="F45" s="2" t="s">
        <v>313</v>
      </c>
      <c r="G45" s="2" t="s">
        <v>314</v>
      </c>
      <c r="H45" s="2" t="s">
        <v>90</v>
      </c>
      <c r="J45" s="10" t="s">
        <v>18</v>
      </c>
    </row>
    <row r="46" spans="1:10" x14ac:dyDescent="0.25">
      <c r="A46" s="9" t="s">
        <v>244</v>
      </c>
      <c r="B46" s="9" t="s">
        <v>22</v>
      </c>
      <c r="C46" s="2" t="s">
        <v>315</v>
      </c>
      <c r="D46" s="2" t="s">
        <v>316</v>
      </c>
      <c r="E46" s="2" t="s">
        <v>317</v>
      </c>
      <c r="F46" s="2" t="s">
        <v>318</v>
      </c>
      <c r="G46" s="2" t="s">
        <v>319</v>
      </c>
      <c r="H46" s="2" t="s">
        <v>90</v>
      </c>
      <c r="J46" s="10" t="s">
        <v>14</v>
      </c>
    </row>
    <row r="47" spans="1:10" x14ac:dyDescent="0.25">
      <c r="A47" s="9" t="s">
        <v>244</v>
      </c>
      <c r="B47" s="9" t="s">
        <v>24</v>
      </c>
      <c r="C47" s="2" t="s">
        <v>320</v>
      </c>
      <c r="D47" s="2" t="s">
        <v>321</v>
      </c>
      <c r="E47" s="2" t="s">
        <v>322</v>
      </c>
      <c r="F47" s="2" t="s">
        <v>323</v>
      </c>
      <c r="G47" s="2" t="s">
        <v>324</v>
      </c>
      <c r="H47" s="2" t="s">
        <v>90</v>
      </c>
      <c r="J47" s="10" t="s">
        <v>12</v>
      </c>
    </row>
    <row r="48" spans="1:10" x14ac:dyDescent="0.25">
      <c r="A48" s="9" t="s">
        <v>244</v>
      </c>
      <c r="B48" s="9" t="s">
        <v>25</v>
      </c>
      <c r="C48" s="2" t="s">
        <v>325</v>
      </c>
      <c r="D48" s="2" t="s">
        <v>326</v>
      </c>
      <c r="E48" s="2" t="s">
        <v>327</v>
      </c>
      <c r="F48" s="2" t="s">
        <v>328</v>
      </c>
      <c r="G48" s="2" t="s">
        <v>329</v>
      </c>
      <c r="H48" s="2" t="s">
        <v>90</v>
      </c>
      <c r="J48" s="10" t="s">
        <v>12</v>
      </c>
    </row>
    <row r="49" spans="1:10" x14ac:dyDescent="0.25">
      <c r="A49" s="9" t="s">
        <v>246</v>
      </c>
      <c r="B49" s="9" t="s">
        <v>11</v>
      </c>
      <c r="C49" s="2" t="s">
        <v>347</v>
      </c>
      <c r="D49" s="2" t="s">
        <v>348</v>
      </c>
      <c r="E49" s="2" t="s">
        <v>349</v>
      </c>
      <c r="F49" s="2" t="s">
        <v>350</v>
      </c>
      <c r="G49" s="2" t="s">
        <v>351</v>
      </c>
      <c r="H49" s="2" t="s">
        <v>90</v>
      </c>
      <c r="J49" s="10" t="s">
        <v>21</v>
      </c>
    </row>
    <row r="50" spans="1:10" x14ac:dyDescent="0.25">
      <c r="A50" s="9" t="s">
        <v>246</v>
      </c>
      <c r="B50" s="9" t="s">
        <v>13</v>
      </c>
      <c r="C50" s="2" t="s">
        <v>352</v>
      </c>
      <c r="D50" s="2" t="s">
        <v>348</v>
      </c>
      <c r="E50" s="2" t="s">
        <v>353</v>
      </c>
      <c r="F50" s="2" t="s">
        <v>350</v>
      </c>
      <c r="G50" s="2" t="s">
        <v>354</v>
      </c>
      <c r="H50" s="2" t="s">
        <v>90</v>
      </c>
      <c r="J50" s="10" t="s">
        <v>18</v>
      </c>
    </row>
    <row r="51" spans="1:10" x14ac:dyDescent="0.25">
      <c r="A51" s="9" t="s">
        <v>246</v>
      </c>
      <c r="B51" s="9" t="s">
        <v>15</v>
      </c>
      <c r="C51" s="2" t="s">
        <v>355</v>
      </c>
      <c r="D51" s="2" t="s">
        <v>353</v>
      </c>
      <c r="E51" s="2" t="s">
        <v>349</v>
      </c>
      <c r="F51" s="2" t="s">
        <v>350</v>
      </c>
      <c r="G51" s="2" t="s">
        <v>354</v>
      </c>
      <c r="H51" s="2" t="s">
        <v>90</v>
      </c>
      <c r="J51" s="10" t="s">
        <v>14</v>
      </c>
    </row>
    <row r="52" spans="1:10" x14ac:dyDescent="0.25">
      <c r="A52" s="9" t="s">
        <v>246</v>
      </c>
      <c r="B52" s="9" t="s">
        <v>16</v>
      </c>
      <c r="C52" s="2" t="s">
        <v>356</v>
      </c>
      <c r="D52" s="2" t="s">
        <v>357</v>
      </c>
      <c r="E52" s="2" t="s">
        <v>358</v>
      </c>
      <c r="F52" s="2" t="s">
        <v>359</v>
      </c>
      <c r="G52" s="2" t="s">
        <v>360</v>
      </c>
      <c r="H52" s="2" t="s">
        <v>361</v>
      </c>
      <c r="J52" s="10" t="s">
        <v>23</v>
      </c>
    </row>
    <row r="53" spans="1:10" x14ac:dyDescent="0.25">
      <c r="A53" s="9" t="s">
        <v>246</v>
      </c>
      <c r="B53" s="9" t="s">
        <v>17</v>
      </c>
      <c r="C53" s="2" t="s">
        <v>362</v>
      </c>
      <c r="D53" s="2" t="s">
        <v>363</v>
      </c>
      <c r="E53" s="2" t="s">
        <v>364</v>
      </c>
      <c r="F53" s="2" t="s">
        <v>365</v>
      </c>
      <c r="G53" s="2" t="s">
        <v>366</v>
      </c>
      <c r="H53" s="2" t="s">
        <v>90</v>
      </c>
      <c r="J53" s="10" t="s">
        <v>14</v>
      </c>
    </row>
    <row r="54" spans="1:10" x14ac:dyDescent="0.25">
      <c r="A54" s="9" t="s">
        <v>246</v>
      </c>
      <c r="B54" s="9" t="s">
        <v>19</v>
      </c>
      <c r="C54" s="2" t="s">
        <v>367</v>
      </c>
      <c r="D54" s="2" t="s">
        <v>368</v>
      </c>
      <c r="E54" s="2" t="s">
        <v>369</v>
      </c>
      <c r="F54" s="2" t="s">
        <v>370</v>
      </c>
      <c r="G54" s="2" t="s">
        <v>371</v>
      </c>
      <c r="H54" s="2" t="s">
        <v>90</v>
      </c>
      <c r="J54" s="10" t="s">
        <v>18</v>
      </c>
    </row>
    <row r="55" spans="1:10" x14ac:dyDescent="0.25">
      <c r="A55" s="9" t="s">
        <v>246</v>
      </c>
      <c r="B55" s="9" t="s">
        <v>20</v>
      </c>
      <c r="C55" s="2" t="s">
        <v>372</v>
      </c>
      <c r="D55" s="2" t="s">
        <v>373</v>
      </c>
      <c r="E55" s="2" t="s">
        <v>374</v>
      </c>
      <c r="F55" s="2" t="s">
        <v>375</v>
      </c>
      <c r="G55" s="2" t="s">
        <v>376</v>
      </c>
      <c r="H55" s="2" t="s">
        <v>377</v>
      </c>
      <c r="J55" s="10" t="s">
        <v>23</v>
      </c>
    </row>
    <row r="56" spans="1:10" x14ac:dyDescent="0.25">
      <c r="A56" s="9" t="s">
        <v>246</v>
      </c>
      <c r="B56" s="9" t="s">
        <v>22</v>
      </c>
      <c r="C56" s="2" t="s">
        <v>378</v>
      </c>
      <c r="D56" s="2" t="s">
        <v>379</v>
      </c>
      <c r="E56" s="2" t="s">
        <v>380</v>
      </c>
      <c r="F56" s="2" t="s">
        <v>381</v>
      </c>
      <c r="G56" s="2" t="s">
        <v>382</v>
      </c>
      <c r="H56" s="2" t="s">
        <v>90</v>
      </c>
      <c r="J56" s="10" t="s">
        <v>12</v>
      </c>
    </row>
    <row r="57" spans="1:10" x14ac:dyDescent="0.25">
      <c r="A57" s="9" t="s">
        <v>246</v>
      </c>
      <c r="B57" s="9" t="s">
        <v>24</v>
      </c>
      <c r="C57" s="2" t="s">
        <v>383</v>
      </c>
      <c r="D57" s="2" t="s">
        <v>384</v>
      </c>
      <c r="E57" s="2" t="s">
        <v>385</v>
      </c>
      <c r="F57" s="2" t="s">
        <v>386</v>
      </c>
      <c r="G57" s="2" t="s">
        <v>387</v>
      </c>
      <c r="H57" s="2" t="s">
        <v>90</v>
      </c>
      <c r="J57" s="10" t="s">
        <v>21</v>
      </c>
    </row>
    <row r="58" spans="1:10" x14ac:dyDescent="0.25">
      <c r="A58" s="9" t="s">
        <v>246</v>
      </c>
      <c r="B58" s="9" t="s">
        <v>25</v>
      </c>
      <c r="C58" s="2" t="s">
        <v>388</v>
      </c>
      <c r="D58" s="2" t="s">
        <v>389</v>
      </c>
      <c r="E58" s="2" t="s">
        <v>390</v>
      </c>
      <c r="F58" s="2" t="s">
        <v>391</v>
      </c>
      <c r="G58" s="2" t="s">
        <v>392</v>
      </c>
      <c r="H58" s="2" t="s">
        <v>90</v>
      </c>
      <c r="J58" s="10" t="s">
        <v>18</v>
      </c>
    </row>
    <row r="59" spans="1:10" x14ac:dyDescent="0.25">
      <c r="A59" s="9" t="s">
        <v>246</v>
      </c>
      <c r="B59" s="9" t="s">
        <v>26</v>
      </c>
      <c r="C59" s="2" t="s">
        <v>393</v>
      </c>
      <c r="D59" s="2" t="s">
        <v>394</v>
      </c>
      <c r="E59" s="2" t="s">
        <v>395</v>
      </c>
      <c r="F59" s="2" t="s">
        <v>396</v>
      </c>
      <c r="G59" s="2" t="s">
        <v>387</v>
      </c>
      <c r="H59" s="2" t="s">
        <v>90</v>
      </c>
      <c r="J59" s="10" t="s">
        <v>21</v>
      </c>
    </row>
    <row r="60" spans="1:10" x14ac:dyDescent="0.25">
      <c r="A60" s="9" t="s">
        <v>246</v>
      </c>
      <c r="B60" s="9" t="s">
        <v>27</v>
      </c>
      <c r="C60" s="2" t="s">
        <v>397</v>
      </c>
      <c r="D60" s="2" t="s">
        <v>398</v>
      </c>
      <c r="E60" s="2" t="s">
        <v>399</v>
      </c>
      <c r="F60" s="2" t="s">
        <v>400</v>
      </c>
      <c r="G60" s="2" t="s">
        <v>401</v>
      </c>
      <c r="H60" s="2" t="s">
        <v>90</v>
      </c>
      <c r="J60" s="10" t="s">
        <v>12</v>
      </c>
    </row>
    <row r="61" spans="1:10" x14ac:dyDescent="0.25">
      <c r="A61" s="9" t="s">
        <v>246</v>
      </c>
      <c r="B61" s="9" t="s">
        <v>28</v>
      </c>
      <c r="C61" s="2" t="s">
        <v>402</v>
      </c>
      <c r="D61" s="2" t="s">
        <v>403</v>
      </c>
      <c r="E61" s="2" t="s">
        <v>404</v>
      </c>
      <c r="F61" s="2" t="s">
        <v>405</v>
      </c>
      <c r="G61" s="2" t="s">
        <v>406</v>
      </c>
      <c r="H61" s="2" t="s">
        <v>90</v>
      </c>
      <c r="J61" s="10" t="s">
        <v>21</v>
      </c>
    </row>
    <row r="62" spans="1:10" x14ac:dyDescent="0.25">
      <c r="A62" s="9" t="s">
        <v>246</v>
      </c>
      <c r="B62" s="9" t="s">
        <v>29</v>
      </c>
      <c r="C62" s="2" t="s">
        <v>407</v>
      </c>
      <c r="D62" s="2" t="s">
        <v>408</v>
      </c>
      <c r="E62" s="2" t="s">
        <v>409</v>
      </c>
      <c r="F62" s="2" t="s">
        <v>410</v>
      </c>
      <c r="G62" s="2" t="s">
        <v>411</v>
      </c>
      <c r="H62" s="2" t="s">
        <v>412</v>
      </c>
      <c r="J62" s="10" t="s">
        <v>23</v>
      </c>
    </row>
    <row r="63" spans="1:10" x14ac:dyDescent="0.25">
      <c r="A63" s="9" t="s">
        <v>246</v>
      </c>
      <c r="B63" s="9" t="s">
        <v>30</v>
      </c>
      <c r="C63" s="2" t="s">
        <v>413</v>
      </c>
      <c r="D63" s="2" t="s">
        <v>414</v>
      </c>
      <c r="E63" s="2" t="s">
        <v>415</v>
      </c>
      <c r="F63" s="2" t="s">
        <v>416</v>
      </c>
      <c r="G63" s="2" t="s">
        <v>417</v>
      </c>
      <c r="H63" s="2" t="s">
        <v>90</v>
      </c>
      <c r="J63" s="10" t="s">
        <v>14</v>
      </c>
    </row>
    <row r="64" spans="1:10" x14ac:dyDescent="0.25">
      <c r="A64" s="9" t="s">
        <v>246</v>
      </c>
      <c r="B64" s="9" t="s">
        <v>31</v>
      </c>
      <c r="C64" s="2" t="s">
        <v>418</v>
      </c>
      <c r="D64" s="2" t="s">
        <v>368</v>
      </c>
      <c r="E64" s="2" t="s">
        <v>419</v>
      </c>
      <c r="F64" s="2" t="s">
        <v>370</v>
      </c>
      <c r="G64" s="2" t="s">
        <v>371</v>
      </c>
      <c r="H64" s="2" t="s">
        <v>90</v>
      </c>
      <c r="J64" s="10" t="s">
        <v>14</v>
      </c>
    </row>
    <row r="65" spans="1:10" x14ac:dyDescent="0.25">
      <c r="A65" s="9" t="s">
        <v>254</v>
      </c>
      <c r="B65" s="9" t="s">
        <v>11</v>
      </c>
      <c r="C65" s="2" t="s">
        <v>432</v>
      </c>
      <c r="D65" s="2" t="s">
        <v>433</v>
      </c>
      <c r="E65" s="2" t="s">
        <v>434</v>
      </c>
      <c r="F65" s="2" t="s">
        <v>435</v>
      </c>
      <c r="G65" s="2" t="s">
        <v>436</v>
      </c>
      <c r="H65" s="2" t="s">
        <v>90</v>
      </c>
      <c r="J65" s="10" t="s">
        <v>14</v>
      </c>
    </row>
    <row r="66" spans="1:10" x14ac:dyDescent="0.25">
      <c r="A66" s="9" t="s">
        <v>254</v>
      </c>
      <c r="B66" s="9" t="s">
        <v>13</v>
      </c>
      <c r="C66" s="2" t="s">
        <v>437</v>
      </c>
      <c r="D66" s="2" t="s">
        <v>438</v>
      </c>
      <c r="E66" s="2" t="s">
        <v>439</v>
      </c>
      <c r="F66" s="2" t="s">
        <v>440</v>
      </c>
      <c r="G66" s="2" t="s">
        <v>441</v>
      </c>
      <c r="H66" s="2" t="s">
        <v>90</v>
      </c>
      <c r="J66" s="10" t="s">
        <v>18</v>
      </c>
    </row>
    <row r="67" spans="1:10" x14ac:dyDescent="0.25">
      <c r="A67" s="9" t="s">
        <v>254</v>
      </c>
      <c r="B67" s="9" t="s">
        <v>15</v>
      </c>
      <c r="C67" s="2" t="s">
        <v>442</v>
      </c>
      <c r="D67" s="2" t="s">
        <v>443</v>
      </c>
      <c r="E67" s="2" t="s">
        <v>444</v>
      </c>
      <c r="F67" s="2" t="s">
        <v>445</v>
      </c>
      <c r="G67" s="2" t="s">
        <v>446</v>
      </c>
      <c r="H67" s="2" t="s">
        <v>90</v>
      </c>
      <c r="J67" s="10" t="s">
        <v>21</v>
      </c>
    </row>
    <row r="68" spans="1:10" x14ac:dyDescent="0.25">
      <c r="A68" s="9" t="s">
        <v>254</v>
      </c>
      <c r="B68" s="9" t="s">
        <v>16</v>
      </c>
      <c r="C68" s="2" t="s">
        <v>447</v>
      </c>
      <c r="D68" s="2" t="s">
        <v>448</v>
      </c>
      <c r="E68" s="2" t="s">
        <v>449</v>
      </c>
      <c r="F68" s="2" t="s">
        <v>450</v>
      </c>
      <c r="G68" s="2" t="s">
        <v>451</v>
      </c>
      <c r="H68" s="2" t="s">
        <v>90</v>
      </c>
      <c r="J68" s="10" t="s">
        <v>12</v>
      </c>
    </row>
    <row r="69" spans="1:10" x14ac:dyDescent="0.25">
      <c r="A69" s="9" t="s">
        <v>254</v>
      </c>
      <c r="B69" s="9" t="s">
        <v>17</v>
      </c>
      <c r="C69" s="2" t="s">
        <v>452</v>
      </c>
      <c r="D69" s="2" t="s">
        <v>453</v>
      </c>
      <c r="E69" s="2" t="s">
        <v>454</v>
      </c>
      <c r="F69" s="2" t="s">
        <v>455</v>
      </c>
      <c r="G69" s="2" t="s">
        <v>456</v>
      </c>
      <c r="H69" s="2" t="s">
        <v>90</v>
      </c>
      <c r="J69" s="10" t="s">
        <v>18</v>
      </c>
    </row>
    <row r="70" spans="1:10" x14ac:dyDescent="0.25">
      <c r="A70" s="9" t="s">
        <v>254</v>
      </c>
      <c r="B70" s="9" t="s">
        <v>19</v>
      </c>
      <c r="C70" s="2" t="s">
        <v>457</v>
      </c>
      <c r="D70" s="2" t="s">
        <v>458</v>
      </c>
      <c r="E70" s="2" t="s">
        <v>459</v>
      </c>
      <c r="F70" s="2" t="s">
        <v>460</v>
      </c>
      <c r="G70" s="2" t="s">
        <v>461</v>
      </c>
      <c r="H70" s="2" t="s">
        <v>90</v>
      </c>
      <c r="J70" s="10" t="s">
        <v>21</v>
      </c>
    </row>
    <row r="71" spans="1:10" x14ac:dyDescent="0.25">
      <c r="A71" s="9" t="s">
        <v>254</v>
      </c>
      <c r="B71" s="9" t="s">
        <v>20</v>
      </c>
      <c r="C71" s="2" t="s">
        <v>462</v>
      </c>
      <c r="D71" s="2" t="s">
        <v>463</v>
      </c>
      <c r="E71" s="2" t="s">
        <v>464</v>
      </c>
      <c r="F71" s="2" t="s">
        <v>465</v>
      </c>
      <c r="G71" s="2" t="s">
        <v>466</v>
      </c>
      <c r="H71" s="2" t="s">
        <v>90</v>
      </c>
      <c r="J71" s="10" t="s">
        <v>21</v>
      </c>
    </row>
    <row r="72" spans="1:10" x14ac:dyDescent="0.25">
      <c r="A72" s="9" t="s">
        <v>254</v>
      </c>
      <c r="B72" s="9" t="s">
        <v>22</v>
      </c>
      <c r="C72" s="2" t="s">
        <v>467</v>
      </c>
      <c r="D72" s="2" t="s">
        <v>468</v>
      </c>
      <c r="E72" s="2" t="s">
        <v>469</v>
      </c>
      <c r="F72" s="2" t="s">
        <v>470</v>
      </c>
      <c r="G72" s="2" t="s">
        <v>471</v>
      </c>
      <c r="H72" s="2" t="s">
        <v>90</v>
      </c>
      <c r="J72" s="10" t="s">
        <v>14</v>
      </c>
    </row>
    <row r="73" spans="1:10" x14ac:dyDescent="0.25">
      <c r="A73" s="9" t="s">
        <v>254</v>
      </c>
      <c r="B73" s="9" t="s">
        <v>24</v>
      </c>
      <c r="C73" s="2" t="s">
        <v>472</v>
      </c>
      <c r="D73" s="2" t="s">
        <v>473</v>
      </c>
      <c r="E73" s="2" t="s">
        <v>474</v>
      </c>
      <c r="F73" s="2" t="s">
        <v>475</v>
      </c>
      <c r="G73" s="2" t="s">
        <v>476</v>
      </c>
      <c r="H73" s="2" t="s">
        <v>90</v>
      </c>
      <c r="J73" s="10" t="s">
        <v>12</v>
      </c>
    </row>
    <row r="74" spans="1:10" x14ac:dyDescent="0.25">
      <c r="A74" s="9" t="s">
        <v>254</v>
      </c>
      <c r="B74" s="9" t="s">
        <v>25</v>
      </c>
      <c r="C74" s="2" t="s">
        <v>477</v>
      </c>
      <c r="D74" s="2" t="s">
        <v>478</v>
      </c>
      <c r="E74" s="2" t="s">
        <v>479</v>
      </c>
      <c r="F74" s="2" t="s">
        <v>480</v>
      </c>
      <c r="G74" s="2" t="s">
        <v>481</v>
      </c>
      <c r="H74" s="2" t="s">
        <v>90</v>
      </c>
      <c r="J74" s="10" t="s">
        <v>21</v>
      </c>
    </row>
    <row r="75" spans="1:10" x14ac:dyDescent="0.25">
      <c r="A75" s="9" t="s">
        <v>254</v>
      </c>
      <c r="B75" s="9" t="s">
        <v>26</v>
      </c>
      <c r="C75" s="2" t="s">
        <v>482</v>
      </c>
      <c r="D75" s="2" t="s">
        <v>483</v>
      </c>
      <c r="E75" s="2" t="s">
        <v>484</v>
      </c>
      <c r="F75" s="2" t="s">
        <v>485</v>
      </c>
      <c r="G75" s="2" t="s">
        <v>486</v>
      </c>
      <c r="H75" s="2" t="s">
        <v>90</v>
      </c>
      <c r="J75" s="10" t="s">
        <v>14</v>
      </c>
    </row>
    <row r="76" spans="1:10" x14ac:dyDescent="0.25">
      <c r="A76" s="9" t="s">
        <v>254</v>
      </c>
      <c r="B76" s="9" t="s">
        <v>27</v>
      </c>
      <c r="C76" s="2" t="s">
        <v>487</v>
      </c>
      <c r="D76" s="2" t="s">
        <v>488</v>
      </c>
      <c r="E76" s="2" t="s">
        <v>489</v>
      </c>
      <c r="F76" s="2" t="s">
        <v>490</v>
      </c>
      <c r="G76" s="2" t="s">
        <v>491</v>
      </c>
      <c r="H76" s="2" t="s">
        <v>90</v>
      </c>
      <c r="J76" s="10" t="s">
        <v>12</v>
      </c>
    </row>
  </sheetData>
  <phoneticPr fontId="9" type="noConversion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4EFAA-EF75-46AB-9449-DE504B7E1DE0}">
  <sheetPr>
    <tabColor rgb="FF999999"/>
    <outlinePr summaryBelow="0" summaryRight="0"/>
  </sheetPr>
  <dimension ref="A1:B1000"/>
  <sheetViews>
    <sheetView workbookViewId="0"/>
  </sheetViews>
  <sheetFormatPr baseColWidth="10" defaultColWidth="14.42578125" defaultRowHeight="15" customHeight="1" x14ac:dyDescent="0.25"/>
  <cols>
    <col min="1" max="1" width="9.140625" style="4" customWidth="1"/>
    <col min="2" max="6" width="14.42578125" style="4" customWidth="1"/>
    <col min="7" max="16384" width="14.42578125" style="4"/>
  </cols>
  <sheetData>
    <row r="1" spans="1:2" x14ac:dyDescent="0.25">
      <c r="A1" s="3" t="s">
        <v>0</v>
      </c>
      <c r="B1" s="3" t="s">
        <v>240</v>
      </c>
    </row>
    <row r="2" spans="1:2" ht="16.5" x14ac:dyDescent="0.25">
      <c r="A2" s="5" t="s">
        <v>241</v>
      </c>
      <c r="B2" s="5" t="s">
        <v>242</v>
      </c>
    </row>
    <row r="3" spans="1:2" ht="16.5" x14ac:dyDescent="0.25">
      <c r="A3" s="5" t="s">
        <v>10</v>
      </c>
      <c r="B3" s="5" t="s">
        <v>243</v>
      </c>
    </row>
    <row r="4" spans="1:2" ht="16.5" x14ac:dyDescent="0.25">
      <c r="A4" s="5" t="s">
        <v>244</v>
      </c>
      <c r="B4" s="5" t="s">
        <v>245</v>
      </c>
    </row>
    <row r="5" spans="1:2" ht="16.5" x14ac:dyDescent="0.25">
      <c r="A5" s="5" t="s">
        <v>246</v>
      </c>
      <c r="B5" s="5" t="s">
        <v>247</v>
      </c>
    </row>
    <row r="6" spans="1:2" ht="16.5" x14ac:dyDescent="0.25">
      <c r="A6" s="5" t="s">
        <v>248</v>
      </c>
      <c r="B6" s="5" t="s">
        <v>249</v>
      </c>
    </row>
    <row r="7" spans="1:2" ht="16.5" x14ac:dyDescent="0.25">
      <c r="A7" s="5" t="s">
        <v>250</v>
      </c>
      <c r="B7" s="5" t="s">
        <v>251</v>
      </c>
    </row>
    <row r="8" spans="1:2" ht="16.5" x14ac:dyDescent="0.25">
      <c r="A8" s="5" t="s">
        <v>252</v>
      </c>
      <c r="B8" s="5" t="s">
        <v>253</v>
      </c>
    </row>
    <row r="9" spans="1:2" ht="16.5" x14ac:dyDescent="0.25">
      <c r="A9" s="5" t="s">
        <v>254</v>
      </c>
      <c r="B9" s="5" t="s">
        <v>255</v>
      </c>
    </row>
    <row r="10" spans="1:2" ht="16.5" x14ac:dyDescent="0.25">
      <c r="A10" s="5" t="s">
        <v>256</v>
      </c>
      <c r="B10" s="5" t="s">
        <v>257</v>
      </c>
    </row>
    <row r="11" spans="1:2" ht="16.5" x14ac:dyDescent="0.25">
      <c r="A11" s="5" t="s">
        <v>258</v>
      </c>
      <c r="B11" s="5" t="s">
        <v>259</v>
      </c>
    </row>
    <row r="12" spans="1:2" ht="16.5" x14ac:dyDescent="0.25">
      <c r="A12" s="5" t="s">
        <v>260</v>
      </c>
      <c r="B12" s="5" t="s">
        <v>261</v>
      </c>
    </row>
    <row r="13" spans="1:2" ht="16.5" x14ac:dyDescent="0.25">
      <c r="A13" s="5" t="s">
        <v>262</v>
      </c>
      <c r="B13" s="5" t="s">
        <v>263</v>
      </c>
    </row>
    <row r="14" spans="1:2" ht="16.5" x14ac:dyDescent="0.25">
      <c r="A14" s="5" t="s">
        <v>264</v>
      </c>
      <c r="B14" s="5" t="s">
        <v>265</v>
      </c>
    </row>
    <row r="15" spans="1:2" ht="16.5" x14ac:dyDescent="0.25">
      <c r="A15" s="5" t="s">
        <v>266</v>
      </c>
      <c r="B15" s="5" t="s">
        <v>267</v>
      </c>
    </row>
    <row r="16" spans="1:2" ht="16.5" x14ac:dyDescent="0.25">
      <c r="A16" s="5" t="s">
        <v>268</v>
      </c>
      <c r="B16" s="5" t="s">
        <v>269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82157-25E0-434E-AB6B-01FE38A60B37}">
  <dimension ref="A1:I41"/>
  <sheetViews>
    <sheetView topLeftCell="A18" workbookViewId="0">
      <selection activeCell="D30" sqref="D30:I41"/>
    </sheetView>
  </sheetViews>
  <sheetFormatPr baseColWidth="10" defaultRowHeight="15" x14ac:dyDescent="0.25"/>
  <cols>
    <col min="1" max="1" width="34.140625" customWidth="1"/>
    <col min="3" max="3" width="60" customWidth="1"/>
  </cols>
  <sheetData>
    <row r="1" spans="1:9" x14ac:dyDescent="0.25">
      <c r="A1" s="6" t="s">
        <v>270</v>
      </c>
      <c r="B1">
        <f>FIND(" - ",A1)</f>
        <v>2</v>
      </c>
      <c r="C1" t="str">
        <f>RIGHT(A1, LEN(A1)-(B1+2))</f>
        <v>Quels sont les 4 comportements pouvant être adoptés théoriquement lors d’un conflit ?|Fuite - Assertivité - Contrainte - Manipulation|Assertivité - Arrogance - Manipulation - Agressivité|Agressivité - Assertivité - Fuite - Manipulation|Agressivité - Fuite - Manipulation - Monologue|Aucune des autres réponses</v>
      </c>
      <c r="D1" t="str" cm="1">
        <f t="array" ref="D1:I1">_xlfn.TEXTSPLIT(C1,"|")</f>
        <v>Quels sont les 4 comportements pouvant être adoptés théoriquement lors d’un conflit ?</v>
      </c>
      <c r="E1" t="str">
        <v>Fuite - Assertivité - Contrainte - Manipulation</v>
      </c>
      <c r="F1" t="str">
        <v>Assertivité - Arrogance - Manipulation - Agressivité</v>
      </c>
      <c r="G1" t="str">
        <v>Agressivité - Assertivité - Fuite - Manipulation</v>
      </c>
      <c r="H1" t="str">
        <v>Agressivité - Fuite - Manipulation - Monologue</v>
      </c>
      <c r="I1" t="str">
        <v>Aucune des autres réponses</v>
      </c>
    </row>
    <row r="2" spans="1:9" x14ac:dyDescent="0.25">
      <c r="A2" s="6" t="s">
        <v>271</v>
      </c>
      <c r="B2">
        <f>FIND(" - ",A2)</f>
        <v>2</v>
      </c>
      <c r="C2" t="str">
        <f>RIGHT(A2, LEN(A2)-(B2+2))</f>
        <v>Quelles sont les précautions à prendre lorsqu’on aborde une personne susceptible de générer un conflit ?|Rester à une dizaine de mètres pour ne pas s’exposer|Garder une distance raisonnable de sécurité|Se munir d’un moyen de défense|S’approcher au plus près pour rassurer la personne|Aucune des autres réponses</v>
      </c>
      <c r="D2" t="str" cm="1">
        <f t="array" ref="D2:I2">_xlfn.TEXTSPLIT(C2,"|")</f>
        <v>Quelles sont les précautions à prendre lorsqu’on aborde une personne susceptible de générer un conflit ?</v>
      </c>
      <c r="E2" t="str">
        <v>Rester à une dizaine de mètres pour ne pas s’exposer</v>
      </c>
      <c r="F2" t="str">
        <v>Garder une distance raisonnable de sécurité</v>
      </c>
      <c r="G2" t="str">
        <v>Se munir d’un moyen de défense</v>
      </c>
      <c r="H2" t="str">
        <v>S’approcher au plus près pour rassurer la personne</v>
      </c>
      <c r="I2" t="str">
        <v>Aucune des autres réponses</v>
      </c>
    </row>
    <row r="3" spans="1:9" x14ac:dyDescent="0.25">
      <c r="A3" s="6" t="s">
        <v>272</v>
      </c>
      <c r="B3">
        <f>FIND(" - ",A3)</f>
        <v>2</v>
      </c>
      <c r="C3" t="str">
        <f>RIGHT(A3, LEN(A3)-(B3+2))</f>
        <v>Quelles sont les méthodes de réaction aux attaques verbales, menaces et intimidation ?|Répondre sur le même ton - faire du Karaté|Ignorer la personne - Continuer de faire son travail|Répondre sur le même ton - Appeler la police|Garder son calme - Pratiquer le judo verbal pour retourner la situation|Aucune des autres réponses</v>
      </c>
      <c r="D3" t="str" cm="1">
        <f t="array" ref="D3:I3">_xlfn.TEXTSPLIT(C3,"|")</f>
        <v>Quelles sont les méthodes de réaction aux attaques verbales, menaces et intimidation ?</v>
      </c>
      <c r="E3" t="str">
        <v>Répondre sur le même ton - faire du Karaté</v>
      </c>
      <c r="F3" t="str">
        <v>Ignorer la personne - Continuer de faire son travail</v>
      </c>
      <c r="G3" t="str">
        <v>Répondre sur le même ton - Appeler la police</v>
      </c>
      <c r="H3" t="str">
        <v>Garder son calme - Pratiquer le judo verbal pour retourner la situation</v>
      </c>
      <c r="I3" t="str">
        <v>Aucune des autres réponses</v>
      </c>
    </row>
    <row r="4" spans="1:9" x14ac:dyDescent="0.25">
      <c r="A4" s="6" t="s">
        <v>273</v>
      </c>
      <c r="B4">
        <f>FIND(" - ",A4)</f>
        <v>2</v>
      </c>
      <c r="C4" t="str">
        <f>RIGHT(A4, LEN(A4)-(B4+2))</f>
        <v>Quel type de personne peut être plus générateur de conflit ?|Une personne insatisfaite|Une personne timide|Une personne bavarde|Une personne ne parlant pas le français|Aucune des autres réponses</v>
      </c>
      <c r="D4" t="str" cm="1">
        <f t="array" ref="D4:I4">_xlfn.TEXTSPLIT(C4,"|")</f>
        <v>Quel type de personne peut être plus générateur de conflit ?</v>
      </c>
      <c r="E4" t="str">
        <v>Une personne insatisfaite</v>
      </c>
      <c r="F4" t="str">
        <v>Une personne timide</v>
      </c>
      <c r="G4" t="str">
        <v>Une personne bavarde</v>
      </c>
      <c r="H4" t="str">
        <v>Une personne ne parlant pas le français</v>
      </c>
      <c r="I4" t="str">
        <v>Aucune des autres réponses</v>
      </c>
    </row>
    <row r="5" spans="1:9" x14ac:dyDescent="0.25">
      <c r="A5" s="6" t="s">
        <v>274</v>
      </c>
      <c r="B5">
        <f>FIND(" - ",A5)</f>
        <v>2</v>
      </c>
      <c r="C5" t="str">
        <f>RIGHT(A5, LEN(A5)-(B5+2))</f>
        <v>A l’entrée d’un centre commercial, un client vient se plaindre auprès de vous d’un article acheté, qu’il juge défectueux. Que faites-vous ?|Vous lui proposez de faire l’échange vous-même|Vous prenez le temps d’écouter et le dirigez vers le service après-vente|Vous refusez de le renseigner|Vous lui proposez vos services, après votre vacation, car vous connaissez bien les défauts de cet article|Aucune des autres réponses</v>
      </c>
      <c r="D5" t="str" cm="1">
        <f t="array" ref="D5:I5">_xlfn.TEXTSPLIT(C5,"|")</f>
        <v>A l’entrée d’un centre commercial, un client vient se plaindre auprès de vous d’un article acheté, qu’il juge défectueux. Que faites-vous ?</v>
      </c>
      <c r="E5" t="str">
        <v>Vous lui proposez de faire l’échange vous-même</v>
      </c>
      <c r="F5" t="str">
        <v>Vous prenez le temps d’écouter et le dirigez vers le service après-vente</v>
      </c>
      <c r="G5" t="str">
        <v>Vous refusez de le renseigner</v>
      </c>
      <c r="H5" t="str">
        <v>Vous lui proposez vos services, après votre vacation, car vous connaissez bien les défauts de cet article</v>
      </c>
      <c r="I5" t="str">
        <v>Aucune des autres réponses</v>
      </c>
    </row>
    <row r="6" spans="1:9" x14ac:dyDescent="0.25">
      <c r="A6" s="6" t="s">
        <v>275</v>
      </c>
      <c r="B6">
        <f>FIND(" - ",A6)</f>
        <v>2</v>
      </c>
      <c r="C6" t="str">
        <f>RIGHT(A6, LEN(A6)-(B6+2))</f>
        <v>Je viens de fermer la porte d’entrée au supermarché avant sa fermeture totale. Un client veut rentrer malgré tout et frappe violemment sur la porte vitrée. Que faites-vous ?|Je lui explique que le magasin et les caisses sont fermés|J’ouvre les portes et le laisse rentrer exceptionnellement|Je lui ordonne de quitter les lieux immédiatement et le menace d’appeler les forces de l’ordre|Je l’ignore et continue ma ronde de fermeture|Aucune des autres réponses</v>
      </c>
      <c r="D6" t="str" cm="1">
        <f t="array" ref="D6:I6">_xlfn.TEXTSPLIT(C6,"|")</f>
        <v>Je viens de fermer la porte d’entrée au supermarché avant sa fermeture totale. Un client veut rentrer malgré tout et frappe violemment sur la porte vitrée. Que faites-vous ?</v>
      </c>
      <c r="E6" t="str">
        <v>Je lui explique que le magasin et les caisses sont fermés</v>
      </c>
      <c r="F6" t="str">
        <v>J’ouvre les portes et le laisse rentrer exceptionnellement</v>
      </c>
      <c r="G6" t="str">
        <v>Je lui ordonne de quitter les lieux immédiatement et le menace d’appeler les forces de l’ordre</v>
      </c>
      <c r="H6" t="str">
        <v>Je l’ignore et continue ma ronde de fermeture</v>
      </c>
      <c r="I6" t="str">
        <v>Aucune des autres réponses</v>
      </c>
    </row>
    <row r="7" spans="1:9" x14ac:dyDescent="0.25">
      <c r="A7" s="6" t="s">
        <v>276</v>
      </c>
      <c r="B7">
        <f>FIND(" - ",A7)</f>
        <v>2</v>
      </c>
      <c r="C7" t="str">
        <f>RIGHT(A7, LEN(A7)-(B7+2))</f>
        <v>Lorsque l’agent observe des personnes en conflit dans son périmètre d’action, il doit ?|Uniquement observer ce qui se passe|Partir le plus vite possible|Se poser en médiateur|Prendre position avant de connaître l’origine du conflit|Aucune des autres réponses</v>
      </c>
      <c r="D7" t="str" cm="1">
        <f t="array" ref="D7:I7">_xlfn.TEXTSPLIT(C7,"|")</f>
        <v>Lorsque l’agent observe des personnes en conflit dans son périmètre d’action, il doit ?</v>
      </c>
      <c r="E7" t="str">
        <v>Uniquement observer ce qui se passe</v>
      </c>
      <c r="F7" t="str">
        <v>Partir le plus vite possible</v>
      </c>
      <c r="G7" t="str">
        <v>Se poser en médiateur</v>
      </c>
      <c r="H7" t="str">
        <v>Prendre position avant de connaître l’origine du conflit</v>
      </c>
      <c r="I7" t="str">
        <v>Aucune des autres réponses</v>
      </c>
    </row>
    <row r="8" spans="1:9" x14ac:dyDescent="0.25">
      <c r="A8" s="6" t="s">
        <v>277</v>
      </c>
      <c r="B8">
        <f>FIND(" - ",A8)</f>
        <v>2</v>
      </c>
      <c r="C8" t="str">
        <f>RIGHT(A8, LEN(A8)-(B8+2))</f>
        <v>Dans la communication non verbale, que peut signifier le fait de pointer quelqu’un du doigt ?|Une attitude menaçante ou arrogante|Une attitude de séduction|Une attitude apaisante|Une attitude conciliante|Aucune des autres réponses</v>
      </c>
      <c r="D8" t="str" cm="1">
        <f t="array" ref="D8:I8">_xlfn.TEXTSPLIT(C8,"|")</f>
        <v>Dans la communication non verbale, que peut signifier le fait de pointer quelqu’un du doigt ?</v>
      </c>
      <c r="E8" t="str">
        <v>Une attitude menaçante ou arrogante</v>
      </c>
      <c r="F8" t="str">
        <v>Une attitude de séduction</v>
      </c>
      <c r="G8" t="str">
        <v>Une attitude apaisante</v>
      </c>
      <c r="H8" t="str">
        <v>Une attitude conciliante</v>
      </c>
      <c r="I8" t="str">
        <v>Aucune des autres réponses</v>
      </c>
    </row>
    <row r="9" spans="1:9" x14ac:dyDescent="0.25">
      <c r="A9" s="6" t="s">
        <v>278</v>
      </c>
      <c r="B9">
        <f>FIND(" - ",A9)</f>
        <v>2</v>
      </c>
      <c r="C9" t="str">
        <f>RIGHT(A9, LEN(A9)-(B9+2))</f>
        <v>Durant sa ronde un agent découvre une personne qui fume dans le local des archives, comment procède-t-il pour intervenir sans générer de conflit ?|Lui confisquer ses cigarettes|Retourner au PCS pour renseigner l’incident sur la main courante|Laisser la personne terminer sa cigarette et lui demander de ne pas recommencer|Se présenter, et rappeler la réglementation au contrevenant|Aucune des autres réponses</v>
      </c>
      <c r="D9" t="str" cm="1">
        <f t="array" ref="D9:I9">_xlfn.TEXTSPLIT(C9,"|")</f>
        <v>Durant sa ronde un agent découvre une personne qui fume dans le local des archives, comment procède-t-il pour intervenir sans générer de conflit ?</v>
      </c>
      <c r="E9" t="str">
        <v>Lui confisquer ses cigarettes</v>
      </c>
      <c r="F9" t="str">
        <v>Retourner au PCS pour renseigner l’incident sur la main courante</v>
      </c>
      <c r="G9" t="str">
        <v>Laisser la personne terminer sa cigarette et lui demander de ne pas recommencer</v>
      </c>
      <c r="H9" t="str">
        <v>Se présenter, et rappeler la réglementation au contrevenant</v>
      </c>
      <c r="I9" t="str">
        <v>Aucune des autres réponses</v>
      </c>
    </row>
    <row r="10" spans="1:9" x14ac:dyDescent="0.25">
      <c r="A10" s="6" t="s">
        <v>279</v>
      </c>
      <c r="B10">
        <f>FIND(" - ",A10)</f>
        <v>3</v>
      </c>
      <c r="C10" t="str">
        <f>RIGHT(A10, LEN(A10)-(B10+2))</f>
        <v>Que doit faire le chef de poste lorsque vous êtes en conflit avec l’un de vos collègues APS ?|Attendre la dégradation de la situation pour offrir son aide|Contacter immédiatement la hiérarchie et demander des sanctions|Ne pas intervenir pour laisser la dispute s’estomper|Réunir les agents concernés pour résoudre le problème|Aucune des autres réponses</v>
      </c>
      <c r="D10" t="str" cm="1">
        <f t="array" ref="D10:I10">_xlfn.TEXTSPLIT(C10,"|")</f>
        <v>Que doit faire le chef de poste lorsque vous êtes en conflit avec l’un de vos collègues APS ?</v>
      </c>
      <c r="E10" t="str">
        <v>Attendre la dégradation de la situation pour offrir son aide</v>
      </c>
      <c r="F10" t="str">
        <v>Contacter immédiatement la hiérarchie et demander des sanctions</v>
      </c>
      <c r="G10" t="str">
        <v>Ne pas intervenir pour laisser la dispute s’estomper</v>
      </c>
      <c r="H10" t="str">
        <v>Réunir les agents concernés pour résoudre le problème</v>
      </c>
      <c r="I10" t="str">
        <v>Aucune des autres réponses</v>
      </c>
    </row>
    <row r="11" spans="1:9" x14ac:dyDescent="0.25">
      <c r="B11" t="e">
        <f t="shared" ref="B11:B41" si="0">FIND(" - ",A11)</f>
        <v>#VALUE!</v>
      </c>
      <c r="C11" t="e">
        <f t="shared" ref="C11:C28" si="1">RIGHT(A11, LEN(A11)-(B11+2))</f>
        <v>#VALUE!</v>
      </c>
      <c r="D11" t="e" cm="1">
        <f t="array" ref="D11">_xlfn.TEXTSPLIT(C11,"|")</f>
        <v>#VALUE!</v>
      </c>
    </row>
    <row r="12" spans="1:9" x14ac:dyDescent="0.25">
      <c r="A12" s="12" t="s">
        <v>330</v>
      </c>
      <c r="B12">
        <f t="shared" si="0"/>
        <v>2</v>
      </c>
      <c r="C12" t="str">
        <f t="shared" si="1"/>
        <v>Une consigne qui vous explique la procédure pour pénétrer dans un local où des matières toxiques sont entreposées en permanence est :|Une consigne générale|Une consigne particulière|Une consigne ponctuelle|Une consigne spéciale</v>
      </c>
      <c r="D12" t="str" cm="1">
        <f t="array" ref="D12:H12">_xlfn.TEXTSPLIT(C12,"|")</f>
        <v>Une consigne qui vous explique la procédure pour pénétrer dans un local où des matières toxiques sont entreposées en permanence est :</v>
      </c>
      <c r="E12" t="str">
        <v>Une consigne générale</v>
      </c>
      <c r="F12" t="str">
        <v>Une consigne particulière</v>
      </c>
      <c r="G12" t="str">
        <v>Une consigne ponctuelle</v>
      </c>
      <c r="H12" t="str">
        <v>Une consigne spéciale</v>
      </c>
    </row>
    <row r="13" spans="1:9" x14ac:dyDescent="0.25">
      <c r="A13" s="13" t="s">
        <v>331</v>
      </c>
      <c r="B13">
        <f t="shared" si="0"/>
        <v>2</v>
      </c>
      <c r="C13" t="str">
        <f t="shared" si="1"/>
        <v>Aucune des autres réponses</v>
      </c>
      <c r="D13" t="str" cm="1">
        <f t="array" ref="D13">_xlfn.TEXTSPLIT(C13,"|")</f>
        <v>Aucune des autres réponses</v>
      </c>
    </row>
    <row r="14" spans="1:9" x14ac:dyDescent="0.25">
      <c r="A14" s="13" t="s">
        <v>332</v>
      </c>
      <c r="B14">
        <f t="shared" si="0"/>
        <v>2</v>
      </c>
      <c r="C14" t="str">
        <f t="shared" si="1"/>
        <v>Une consigne Client, qui vous prévient que demain un VIP viendra visiter l’établissement est :|Une consigne générale|Une consigne permanente|Une consigne ponctuelle|Un consigne spéciale|Aucune des autres réponses</v>
      </c>
      <c r="D14" t="str" cm="1">
        <f t="array" ref="D14:I14">_xlfn.TEXTSPLIT(C14,"|")</f>
        <v>Une consigne Client, qui vous prévient que demain un VIP viendra visiter l’établissement est :</v>
      </c>
      <c r="E14" t="str">
        <v>Une consigne générale</v>
      </c>
      <c r="F14" t="str">
        <v>Une consigne permanente</v>
      </c>
      <c r="G14" t="str">
        <v>Une consigne ponctuelle</v>
      </c>
      <c r="H14" t="str">
        <v>Un consigne spéciale</v>
      </c>
      <c r="I14" t="str">
        <v>Aucune des autres réponses</v>
      </c>
    </row>
    <row r="15" spans="1:9" x14ac:dyDescent="0.25">
      <c r="A15" s="13" t="s">
        <v>333</v>
      </c>
      <c r="B15">
        <f t="shared" si="0"/>
        <v>2</v>
      </c>
      <c r="C15" t="str">
        <f t="shared" si="1"/>
        <v>La consigne affichée à proximité des sorties concernant l’évacuation est :|Une consigne permanente|Une consigne particulière|Une consigne ponctuelle|Un consigne spéciale|Aucune des autres réponses</v>
      </c>
      <c r="D15" t="str" cm="1">
        <f t="array" ref="D15:I15">_xlfn.TEXTSPLIT(C15,"|")</f>
        <v>La consigne affichée à proximité des sorties concernant l’évacuation est :</v>
      </c>
      <c r="E15" t="str">
        <v>Une consigne permanente</v>
      </c>
      <c r="F15" t="str">
        <v>Une consigne particulière</v>
      </c>
      <c r="G15" t="str">
        <v>Une consigne ponctuelle</v>
      </c>
      <c r="H15" t="str">
        <v>Un consigne spéciale</v>
      </c>
      <c r="I15" t="str">
        <v>Aucune des autres réponses</v>
      </c>
    </row>
    <row r="16" spans="1:9" x14ac:dyDescent="0.25">
      <c r="A16" s="13" t="s">
        <v>334</v>
      </c>
      <c r="B16">
        <f t="shared" si="0"/>
        <v>2</v>
      </c>
      <c r="C16" t="str">
        <f t="shared" si="1"/>
        <v>Quelle est la meilleure façon d’écrire une date sur la main courante papier ?|Le 17-10-30|Le 30/10/17|Le 30/10/2017|L’an 2017-10-30|Lundi 30 octobre 2017</v>
      </c>
      <c r="D16" t="str" cm="1">
        <f t="array" ref="D16:I16">_xlfn.TEXTSPLIT(C16,"|")</f>
        <v>Quelle est la meilleure façon d’écrire une date sur la main courante papier ?</v>
      </c>
      <c r="E16" t="str">
        <v>Le 17-10-30</v>
      </c>
      <c r="F16" t="str">
        <v>Le 30/10/17</v>
      </c>
      <c r="G16" t="str">
        <v>Le 30/10/2017</v>
      </c>
      <c r="H16" t="str">
        <v>L’an 2017-10-30</v>
      </c>
      <c r="I16" t="str">
        <v>Lundi 30 octobre 2017</v>
      </c>
    </row>
    <row r="17" spans="1:9" x14ac:dyDescent="0.25">
      <c r="A17" s="13" t="s">
        <v>335</v>
      </c>
      <c r="B17">
        <f t="shared" si="0"/>
        <v>2</v>
      </c>
      <c r="C17" t="str">
        <f t="shared" si="1"/>
        <v>Le compte rendu oral ou écrit est un moyen de communication :|Simple et direct avec sa hiérarchie|Qui reste interne à votre entreprise sans conséquence pénale|Il est effectué uniquement à l’aide d’un émetteur/récepteur|Il évite dans tous les cas de rédiger un rapport complet qui serait trop contraignant|Aucune des autres réponses</v>
      </c>
      <c r="D17" t="str" cm="1">
        <f t="array" ref="D17:I17">_xlfn.TEXTSPLIT(C17,"|")</f>
        <v>Le compte rendu oral ou écrit est un moyen de communication :</v>
      </c>
      <c r="E17" t="str">
        <v>Simple et direct avec sa hiérarchie</v>
      </c>
      <c r="F17" t="str">
        <v>Qui reste interne à votre entreprise sans conséquence pénale</v>
      </c>
      <c r="G17" t="str">
        <v>Il est effectué uniquement à l’aide d’un émetteur/récepteur</v>
      </c>
      <c r="H17" t="str">
        <v>Il évite dans tous les cas de rédiger un rapport complet qui serait trop contraignant</v>
      </c>
      <c r="I17" t="str">
        <v>Aucune des autres réponses</v>
      </c>
    </row>
    <row r="18" spans="1:9" x14ac:dyDescent="0.25">
      <c r="A18" s="13" t="s">
        <v>336</v>
      </c>
      <c r="B18">
        <f t="shared" si="0"/>
        <v>2</v>
      </c>
      <c r="C18" t="str">
        <f t="shared" si="1"/>
        <v>De quelle couleur est-il préférable d’écrire les interventions liées à l’incendie sur une main courante ?|En noir|En bleu|En rouge|En vert|Aucune des autres réponses</v>
      </c>
      <c r="D18" t="str" cm="1">
        <f t="array" ref="D18:I18">_xlfn.TEXTSPLIT(C18,"|")</f>
        <v>De quelle couleur est-il préférable d’écrire les interventions liées à l’incendie sur une main courante ?</v>
      </c>
      <c r="E18" t="str">
        <v>En noir</v>
      </c>
      <c r="F18" t="str">
        <v>En bleu</v>
      </c>
      <c r="G18" t="str">
        <v>En rouge</v>
      </c>
      <c r="H18" t="str">
        <v>En vert</v>
      </c>
      <c r="I18" t="str">
        <v>Aucune des autres réponses</v>
      </c>
    </row>
    <row r="19" spans="1:9" x14ac:dyDescent="0.25">
      <c r="A19" s="13" t="s">
        <v>337</v>
      </c>
      <c r="B19">
        <f t="shared" si="0"/>
        <v>2</v>
      </c>
      <c r="C19" t="str">
        <f t="shared" si="1"/>
        <v>Une main courante doit-elle être ?|Chronologique|Datée|Factuelle|Informatisée ou manuscrite|Toutes les réponses précédentes sont exactes</v>
      </c>
      <c r="D19" t="str" cm="1">
        <f t="array" ref="D19:I19">_xlfn.TEXTSPLIT(C19,"|")</f>
        <v>Une main courante doit-elle être ?</v>
      </c>
      <c r="E19" t="str">
        <v>Chronologique</v>
      </c>
      <c r="F19" t="str">
        <v>Datée</v>
      </c>
      <c r="G19" t="str">
        <v>Factuelle</v>
      </c>
      <c r="H19" t="str">
        <v>Informatisée ou manuscrite</v>
      </c>
      <c r="I19" t="str">
        <v>Toutes les réponses précédentes sont exactes</v>
      </c>
    </row>
    <row r="20" spans="1:9" x14ac:dyDescent="0.25">
      <c r="A20" s="13" t="s">
        <v>338</v>
      </c>
      <c r="B20">
        <f t="shared" si="0"/>
        <v>2</v>
      </c>
      <c r="C20" t="str">
        <f t="shared" si="1"/>
        <v>La mise en place et l’utilisation d’une main courante est-elle soumise à une réglementation ?|Oui, c’est la loi du 12 juillet 1983 qui l’impose|Oui, c’est le CSI qui l’impose|Oui, c’est la convention collective qui l’impose|Non, mais elle permet de se protéger en cas de saisie par les autorités|Aucune des autres réponses</v>
      </c>
      <c r="D20" t="str" cm="1">
        <f t="array" ref="D20:I20">_xlfn.TEXTSPLIT(C20,"|")</f>
        <v>La mise en place et l’utilisation d’une main courante est-elle soumise à une réglementation ?</v>
      </c>
      <c r="E20" t="str">
        <v>Oui, c’est la loi du 12 juillet 1983 qui l’impose</v>
      </c>
      <c r="F20" t="str">
        <v>Oui, c’est le CSI qui l’impose</v>
      </c>
      <c r="G20" t="str">
        <v>Oui, c’est la convention collective qui l’impose</v>
      </c>
      <c r="H20" t="str">
        <v>Non, mais elle permet de se protéger en cas de saisie par les autorités</v>
      </c>
      <c r="I20" t="str">
        <v>Aucune des autres réponses</v>
      </c>
    </row>
    <row r="21" spans="1:9" x14ac:dyDescent="0.25">
      <c r="A21" s="13" t="s">
        <v>339</v>
      </c>
      <c r="B21">
        <f t="shared" si="0"/>
        <v>2</v>
      </c>
      <c r="C21" t="str">
        <f t="shared" si="1"/>
        <v>Les consignes spéciales de votre société de sécurité doivent-elles avoir un numéro séquentiel de version ?|Oui, pour pouvoir les ranger dans les archives|Oui, pour savoir si c’est la bonne version en vigueur|Non, puisqu’elles sont permanentes|Non, cela ne sert à rien|Aucune des autres réponses</v>
      </c>
      <c r="D21" t="str" cm="1">
        <f t="array" ref="D21:I21">_xlfn.TEXTSPLIT(C21,"|")</f>
        <v>Les consignes spéciales de votre société de sécurité doivent-elles avoir un numéro séquentiel de version ?</v>
      </c>
      <c r="E21" t="str">
        <v>Oui, pour pouvoir les ranger dans les archives</v>
      </c>
      <c r="F21" t="str">
        <v>Oui, pour savoir si c’est la bonne version en vigueur</v>
      </c>
      <c r="G21" t="str">
        <v>Non, puisqu’elles sont permanentes</v>
      </c>
      <c r="H21" t="str">
        <v>Non, cela ne sert à rien</v>
      </c>
      <c r="I21" t="str">
        <v>Aucune des autres réponses</v>
      </c>
    </row>
    <row r="22" spans="1:9" x14ac:dyDescent="0.25">
      <c r="A22" s="13" t="s">
        <v>340</v>
      </c>
      <c r="B22">
        <f t="shared" si="0"/>
        <v>3</v>
      </c>
      <c r="C22" t="str">
        <f t="shared" si="1"/>
        <v>Une main courante informatisée peut-elle être consultable à distance ?|Non, pour éviter tout piratage|Non, les informations doivent rester sur le site|Oui, le responsable pourra voir au fur et à mesure les événements|Oui, lorsque l’on veut la modifier en fin de journée|Aucune des autres réponses</v>
      </c>
      <c r="D22" t="str" cm="1">
        <f t="array" ref="D22:I22">_xlfn.TEXTSPLIT(C22,"|")</f>
        <v>Une main courante informatisée peut-elle être consultable à distance ?</v>
      </c>
      <c r="E22" t="str">
        <v>Non, pour éviter tout piratage</v>
      </c>
      <c r="F22" t="str">
        <v>Non, les informations doivent rester sur le site</v>
      </c>
      <c r="G22" t="str">
        <v>Oui, le responsable pourra voir au fur et à mesure les événements</v>
      </c>
      <c r="H22" t="str">
        <v>Oui, lorsque l’on veut la modifier en fin de journée</v>
      </c>
      <c r="I22" t="str">
        <v>Aucune des autres réponses</v>
      </c>
    </row>
    <row r="23" spans="1:9" x14ac:dyDescent="0.25">
      <c r="A23" s="13" t="s">
        <v>341</v>
      </c>
      <c r="B23">
        <f t="shared" si="0"/>
        <v>3</v>
      </c>
      <c r="C23" t="str">
        <f t="shared" si="1"/>
        <v>Vous disposez d’une main courante informatisée, devez-vous quand même disposer d’une main courante papier ?|Oui, et on doit remplir les deux|Oui, dans l’éventualité où la main courante informatisée soit hors service|Non, puisqu’on peut tout imprimer plus tard|Non, cela ne sert à rien|Aucune des autres réponses</v>
      </c>
      <c r="D23" t="str" cm="1">
        <f t="array" ref="D23:I23">_xlfn.TEXTSPLIT(C23,"|")</f>
        <v>Vous disposez d’une main courante informatisée, devez-vous quand même disposer d’une main courante papier ?</v>
      </c>
      <c r="E23" t="str">
        <v>Oui, et on doit remplir les deux</v>
      </c>
      <c r="F23" t="str">
        <v>Oui, dans l’éventualité où la main courante informatisée soit hors service</v>
      </c>
      <c r="G23" t="str">
        <v>Non, puisqu’on peut tout imprimer plus tard</v>
      </c>
      <c r="H23" t="str">
        <v>Non, cela ne sert à rien</v>
      </c>
      <c r="I23" t="str">
        <v>Aucune des autres réponses</v>
      </c>
    </row>
    <row r="24" spans="1:9" x14ac:dyDescent="0.25">
      <c r="A24" s="13" t="s">
        <v>342</v>
      </c>
      <c r="B24">
        <f t="shared" si="0"/>
        <v>3</v>
      </c>
      <c r="C24" t="str">
        <f t="shared" si="1"/>
        <v>Une main courante a comme objectif :|De noter uniquement les interventions de la vacation|De noter uniquement les problèmes techniques|De transmettre uniquement des consignes|De relater tous les événements liés à la sécurité lors de la vacation|Aucune des autres réponses</v>
      </c>
      <c r="D24" t="str" cm="1">
        <f t="array" ref="D24:I24">_xlfn.TEXTSPLIT(C24,"|")</f>
        <v>Une main courante a comme objectif :</v>
      </c>
      <c r="E24" t="str">
        <v>De noter uniquement les interventions de la vacation</v>
      </c>
      <c r="F24" t="str">
        <v>De noter uniquement les problèmes techniques</v>
      </c>
      <c r="G24" t="str">
        <v>De transmettre uniquement des consignes</v>
      </c>
      <c r="H24" t="str">
        <v>De relater tous les événements liés à la sécurité lors de la vacation</v>
      </c>
      <c r="I24" t="str">
        <v>Aucune des autres réponses</v>
      </c>
    </row>
    <row r="25" spans="1:9" x14ac:dyDescent="0.25">
      <c r="A25" s="13" t="s">
        <v>343</v>
      </c>
      <c r="B25">
        <f t="shared" si="0"/>
        <v>3</v>
      </c>
      <c r="C25" t="str">
        <f t="shared" si="1"/>
        <v>Le compte rendu écrit est un moyen :|Qui constitue une preuve irréfutable|De signaler un fait circonstancié urgent et important|De noter sur un document brouillon avant de le rédiger au propre|De contrôle du travail effectué par les agents|Aucune des autres réponses</v>
      </c>
      <c r="D25" t="str" cm="1">
        <f t="array" ref="D25:I25">_xlfn.TEXTSPLIT(C25,"|")</f>
        <v>Le compte rendu écrit est un moyen :</v>
      </c>
      <c r="E25" t="str">
        <v>Qui constitue une preuve irréfutable</v>
      </c>
      <c r="F25" t="str">
        <v>De signaler un fait circonstancié urgent et important</v>
      </c>
      <c r="G25" t="str">
        <v>De noter sur un document brouillon avant de le rédiger au propre</v>
      </c>
      <c r="H25" t="str">
        <v>De contrôle du travail effectué par les agents</v>
      </c>
      <c r="I25" t="str">
        <v>Aucune des autres réponses</v>
      </c>
    </row>
    <row r="26" spans="1:9" x14ac:dyDescent="0.25">
      <c r="A26" s="13" t="s">
        <v>344</v>
      </c>
      <c r="B26">
        <f t="shared" si="0"/>
        <v>3</v>
      </c>
      <c r="C26" t="str">
        <f t="shared" si="1"/>
        <v>Concernant les rondes, que doit-on notifier sur la main courante ?|Le nom de l’agent effectuant la ronde|L’heure de retour de ronde|Les anomalies constatées|Les mesures prises en cas d’anomalie|Toutes les réponses sont bonnes</v>
      </c>
      <c r="D26" t="str" cm="1">
        <f t="array" ref="D26:I26">_xlfn.TEXTSPLIT(C26,"|")</f>
        <v>Concernant les rondes, que doit-on notifier sur la main courante ?</v>
      </c>
      <c r="E26" t="str">
        <v>Le nom de l’agent effectuant la ronde</v>
      </c>
      <c r="F26" t="str">
        <v>L’heure de retour de ronde</v>
      </c>
      <c r="G26" t="str">
        <v>Les anomalies constatées</v>
      </c>
      <c r="H26" t="str">
        <v>Les mesures prises en cas d’anomalie</v>
      </c>
      <c r="I26" t="str">
        <v>Toutes les réponses sont bonnes</v>
      </c>
    </row>
    <row r="27" spans="1:9" x14ac:dyDescent="0.25">
      <c r="A27" s="13" t="s">
        <v>345</v>
      </c>
      <c r="B27">
        <f t="shared" si="0"/>
        <v>3</v>
      </c>
      <c r="C27" t="str">
        <f t="shared" si="1"/>
        <v>Un rapport circonstancié doit :|Indiquer l’ensemble des informations de l’incident|Uniquement indiquer les conséquences de l’incident|Uniquement indiquer les circonstances de l’incident|Proposer les solutions afin d’éviter que l’incident ne se reproduise|Aucune des autres réponses</v>
      </c>
      <c r="D27" t="str" cm="1">
        <f t="array" ref="D27:I27">_xlfn.TEXTSPLIT(C27,"|")</f>
        <v>Un rapport circonstancié doit :</v>
      </c>
      <c r="E27" t="str">
        <v>Indiquer l’ensemble des informations de l’incident</v>
      </c>
      <c r="F27" t="str">
        <v>Uniquement indiquer les conséquences de l’incident</v>
      </c>
      <c r="G27" t="str">
        <v>Uniquement indiquer les circonstances de l’incident</v>
      </c>
      <c r="H27" t="str">
        <v>Proposer les solutions afin d’éviter que l’incident ne se reproduise</v>
      </c>
      <c r="I27" t="str">
        <v>Aucune des autres réponses</v>
      </c>
    </row>
    <row r="28" spans="1:9" x14ac:dyDescent="0.25">
      <c r="A28" s="13" t="s">
        <v>346</v>
      </c>
      <c r="B28">
        <f t="shared" si="0"/>
        <v>3</v>
      </c>
      <c r="C28" t="str">
        <f t="shared" si="1"/>
        <v>De quelle couleur est-il préférable d’écrire les événements quotidiens sur une main courante ?|En noir|En jaune|En rouge|En vert|Aucune des autres réponses</v>
      </c>
      <c r="D28" t="str" cm="1">
        <f t="array" ref="D28:I28">_xlfn.TEXTSPLIT(C28,"|")</f>
        <v>De quelle couleur est-il préférable d’écrire les événements quotidiens sur une main courante ?</v>
      </c>
      <c r="E28" t="str">
        <v>En noir</v>
      </c>
      <c r="F28" t="str">
        <v>En jaune</v>
      </c>
      <c r="G28" t="str">
        <v>En rouge</v>
      </c>
      <c r="H28" t="str">
        <v>En vert</v>
      </c>
      <c r="I28" t="str">
        <v>Aucune des autres réponses</v>
      </c>
    </row>
    <row r="29" spans="1:9" x14ac:dyDescent="0.25">
      <c r="B29" t="e">
        <f t="shared" si="0"/>
        <v>#VALUE!</v>
      </c>
      <c r="C29" t="e">
        <f t="shared" ref="C29:C41" si="2">RIGHT(A29, LEN(A29)-(B29+2))</f>
        <v>#VALUE!</v>
      </c>
      <c r="D29" t="e" cm="1">
        <f t="array" ref="D29">_xlfn.TEXTSPLIT(C29,"|")</f>
        <v>#VALUE!</v>
      </c>
    </row>
    <row r="30" spans="1:9" x14ac:dyDescent="0.25">
      <c r="A30" s="6" t="s">
        <v>420</v>
      </c>
      <c r="B30">
        <f t="shared" si="0"/>
        <v>10</v>
      </c>
      <c r="C30" t="str">
        <f t="shared" si="2"/>
        <v>D’après vous, une bonne présentation est-elle nécessaire durant votre service ?|Oui|Non|Cela dépend du poste occupé|Uniquement au contact du public|Aucune des autres réponses</v>
      </c>
      <c r="D30" t="str" cm="1">
        <f t="array" ref="D30:I30">_xlfn.TEXTSPLIT(C30,"|")</f>
        <v>D’après vous, une bonne présentation est-elle nécessaire durant votre service ?</v>
      </c>
      <c r="E30" t="str">
        <v>Oui</v>
      </c>
      <c r="F30" t="str">
        <v>Non</v>
      </c>
      <c r="G30" t="str">
        <v>Cela dépend du poste occupé</v>
      </c>
      <c r="H30" t="str">
        <v>Uniquement au contact du public</v>
      </c>
      <c r="I30" t="str">
        <v>Aucune des autres réponses</v>
      </c>
    </row>
    <row r="31" spans="1:9" x14ac:dyDescent="0.25">
      <c r="A31" s="6" t="s">
        <v>421</v>
      </c>
      <c r="B31">
        <f t="shared" si="0"/>
        <v>10</v>
      </c>
      <c r="C31" t="str">
        <f t="shared" si="2"/>
        <v>Une zone de protection volumétrique concerne :|Un objet précis|Une vitrine|Un local|Une clôture|Aucune des autres réponses</v>
      </c>
      <c r="D31" t="str" cm="1">
        <f t="array" ref="D31:I31">_xlfn.TEXTSPLIT(C31,"|")</f>
        <v>Une zone de protection volumétrique concerne :</v>
      </c>
      <c r="E31" t="str">
        <v>Un objet précis</v>
      </c>
      <c r="F31" t="str">
        <v>Une vitrine</v>
      </c>
      <c r="G31" t="str">
        <v>Un local</v>
      </c>
      <c r="H31" t="str">
        <v>Une clôture</v>
      </c>
      <c r="I31" t="str">
        <v>Aucune des autres réponses</v>
      </c>
    </row>
    <row r="32" spans="1:9" x14ac:dyDescent="0.25">
      <c r="A32" s="6" t="s">
        <v>422</v>
      </c>
      <c r="B32">
        <f t="shared" si="0"/>
        <v>10</v>
      </c>
      <c r="C32" t="str">
        <f t="shared" si="2"/>
        <v>Dans quelle condition un APS peut-il être amené à appréhender un individu ?|L’individu paraît suspect en ressortant du site sans dire “au revoir”|L’individu comment un délit ou un crime sur le site|L’individu refuse d’ouvrir son bagage à l’entrée de l’établissement|L’individu est sur le site pendant les heures d’ouverture et ne respecte pas le règlement intérieur|Aucune des autres réponses</v>
      </c>
      <c r="D32" t="str" cm="1">
        <f t="array" ref="D32:I32">_xlfn.TEXTSPLIT(C32,"|")</f>
        <v>Dans quelle condition un APS peut-il être amené à appréhender un individu ?</v>
      </c>
      <c r="E32" t="str">
        <v>L’individu paraît suspect en ressortant du site sans dire “au revoir”</v>
      </c>
      <c r="F32" t="str">
        <v>L’individu comment un délit ou un crime sur le site</v>
      </c>
      <c r="G32" t="str">
        <v>L’individu refuse d’ouvrir son bagage à l’entrée de l’établissement</v>
      </c>
      <c r="H32" t="str">
        <v>L’individu est sur le site pendant les heures d’ouverture et ne respecte pas le règlement intérieur</v>
      </c>
      <c r="I32" t="str">
        <v>Aucune des autres réponses</v>
      </c>
    </row>
    <row r="33" spans="1:9" x14ac:dyDescent="0.25">
      <c r="A33" s="6" t="s">
        <v>423</v>
      </c>
      <c r="B33">
        <f t="shared" si="0"/>
        <v>10</v>
      </c>
      <c r="C33" t="str">
        <f t="shared" si="2"/>
        <v>Vous êtes agent pré-vol, vous constatez qu’un de vos amis dissimule une bouteille de rhum dans son blouson et quitte le magasin par la sortie sans achats. Quelle est votre réaction ?|Vous ne faites rien car c’est un ami|VOus lui demandez de remettre la bouteille en place discrètement|Vous ne réagissez pas mais en parlerez avec lui après votre travail|Vous prévenez vos collègues pour une appréhension en sortie sans achats|Aucune des autres réponses</v>
      </c>
      <c r="D33" t="str" cm="1">
        <f t="array" ref="D33:I33">_xlfn.TEXTSPLIT(C33,"|")</f>
        <v>Vous êtes agent pré-vol, vous constatez qu’un de vos amis dissimule une bouteille de rhum dans son blouson et quitte le magasin par la sortie sans achats. Quelle est votre réaction ?</v>
      </c>
      <c r="E33" t="str">
        <v>Vous ne faites rien car c’est un ami</v>
      </c>
      <c r="F33" t="str">
        <v>VOus lui demandez de remettre la bouteille en place discrètement</v>
      </c>
      <c r="G33" t="str">
        <v>Vous ne réagissez pas mais en parlerez avec lui après votre travail</v>
      </c>
      <c r="H33" t="str">
        <v>Vous prévenez vos collègues pour une appréhension en sortie sans achats</v>
      </c>
      <c r="I33" t="str">
        <v>Aucune des autres réponses</v>
      </c>
    </row>
    <row r="34" spans="1:9" x14ac:dyDescent="0.25">
      <c r="A34" s="6" t="s">
        <v>424</v>
      </c>
      <c r="B34">
        <f t="shared" si="0"/>
        <v>10</v>
      </c>
      <c r="C34" t="str">
        <f t="shared" si="2"/>
        <v>Les acteurs de la sécurité privée doivent en priorité :|Comptabiliser les vols en magasin|Ne pas intervenir sur les accidents et les incendies|Aider la justice et les services de police|Favoriser les délits et les crimes|Aucune des autres réponses</v>
      </c>
      <c r="D34" t="str" cm="1">
        <f t="array" ref="D34:I34">_xlfn.TEXTSPLIT(C34,"|")</f>
        <v>Les acteurs de la sécurité privée doivent en priorité :</v>
      </c>
      <c r="E34" t="str">
        <v>Comptabiliser les vols en magasin</v>
      </c>
      <c r="F34" t="str">
        <v>Ne pas intervenir sur les accidents et les incendies</v>
      </c>
      <c r="G34" t="str">
        <v>Aider la justice et les services de police</v>
      </c>
      <c r="H34" t="str">
        <v>Favoriser les délits et les crimes</v>
      </c>
      <c r="I34" t="str">
        <v>Aucune des autres réponses</v>
      </c>
    </row>
    <row r="35" spans="1:9" x14ac:dyDescent="0.25">
      <c r="A35" s="6" t="s">
        <v>425</v>
      </c>
      <c r="B35">
        <f t="shared" si="0"/>
        <v>10</v>
      </c>
      <c r="C35" t="str">
        <f t="shared" si="2"/>
        <v>Au cours d’une appréhension n arrière-caisse, un individu vous porte un violent coup de poing au visage, vous cassant le nez :|Il n’y a rien à faire, ce sont les risques du métier, vous ferez plus attention la prochaine fois|Vous allez vous faire examiner par un médecin qui vous délivrera un arrêt de travail|Vous lui rendez la pareille étant en état de légitime défense|Vous ne pouvez pas déposer plainte contre la personne, c’est du ressort du magasin pour lequel vous travaillez|Aucune des autres réponses</v>
      </c>
      <c r="D35" t="str" cm="1">
        <f t="array" ref="D35:I35">_xlfn.TEXTSPLIT(C35,"|")</f>
        <v>Au cours d’une appréhension n arrière-caisse, un individu vous porte un violent coup de poing au visage, vous cassant le nez :</v>
      </c>
      <c r="E35" t="str">
        <v>Il n’y a rien à faire, ce sont les risques du métier, vous ferez plus attention la prochaine fois</v>
      </c>
      <c r="F35" t="str">
        <v>Vous allez vous faire examiner par un médecin qui vous délivrera un arrêt de travail</v>
      </c>
      <c r="G35" t="str">
        <v>Vous lui rendez la pareille étant en état de légitime défense</v>
      </c>
      <c r="H35" t="str">
        <v>Vous ne pouvez pas déposer plainte contre la personne, c’est du ressort du magasin pour lequel vous travaillez</v>
      </c>
      <c r="I35" t="str">
        <v>Aucune des autres réponses</v>
      </c>
    </row>
    <row r="36" spans="1:9" x14ac:dyDescent="0.25">
      <c r="A36" s="6" t="s">
        <v>426</v>
      </c>
      <c r="B36">
        <f t="shared" si="0"/>
        <v>10</v>
      </c>
      <c r="C36" t="str">
        <f t="shared" si="2"/>
        <v>Indiquez une mission entrant dans le cadre d’une ronde de fermeture :|Distribuer le courrier|Contrôler la fermeture des fenêtres|Mettre en action les extincteurs|Arroser les plantes de l’accueil|Aucune des autres réponses</v>
      </c>
      <c r="D36" t="str" cm="1">
        <f t="array" ref="D36:I36">_xlfn.TEXTSPLIT(C36,"|")</f>
        <v>Indiquez une mission entrant dans le cadre d’une ronde de fermeture :</v>
      </c>
      <c r="E36" t="str">
        <v>Distribuer le courrier</v>
      </c>
      <c r="F36" t="str">
        <v>Contrôler la fermeture des fenêtres</v>
      </c>
      <c r="G36" t="str">
        <v>Mettre en action les extincteurs</v>
      </c>
      <c r="H36" t="str">
        <v>Arroser les plantes de l’accueil</v>
      </c>
      <c r="I36" t="str">
        <v>Aucune des autres réponses</v>
      </c>
    </row>
    <row r="37" spans="1:9" x14ac:dyDescent="0.25">
      <c r="A37" s="6" t="s">
        <v>427</v>
      </c>
      <c r="B37">
        <f t="shared" si="0"/>
        <v>10</v>
      </c>
      <c r="C37" t="str">
        <f t="shared" si="2"/>
        <v>Indiquez ce que l’on doit inscrire sur la main courante ?|Les alarmes techniques|Mes impressions en fin de journée|Les noms des agents de sécurité de repos|Les messages personnels|Aucune des autres réponses</v>
      </c>
      <c r="D37" t="str" cm="1">
        <f t="array" ref="D37:I37">_xlfn.TEXTSPLIT(C37,"|")</f>
        <v>Indiquez ce que l’on doit inscrire sur la main courante ?</v>
      </c>
      <c r="E37" t="str">
        <v>Les alarmes techniques</v>
      </c>
      <c r="F37" t="str">
        <v>Mes impressions en fin de journée</v>
      </c>
      <c r="G37" t="str">
        <v>Les noms des agents de sécurité de repos</v>
      </c>
      <c r="H37" t="str">
        <v>Les messages personnels</v>
      </c>
      <c r="I37" t="str">
        <v>Aucune des autres réponses</v>
      </c>
    </row>
    <row r="38" spans="1:9" x14ac:dyDescent="0.25">
      <c r="A38" s="6" t="s">
        <v>428</v>
      </c>
      <c r="B38">
        <f t="shared" si="0"/>
        <v>10</v>
      </c>
      <c r="C38" t="str">
        <f t="shared" si="2"/>
        <v>En ce qui concerne la ronde, un point dit sensible est :|Un point qui en cas d’atteinte pourrait handicaper le bon fonctionnement de l’entreprise|Un point qui a fait l’objet d’une non-conformité relevée lors d’un contrôle du CNAPS|Un point comportant un danger permanent|Un point convoité par les voleurs|Aucune des autres réponses</v>
      </c>
      <c r="D38" t="str" cm="1">
        <f t="array" ref="D38:I38">_xlfn.TEXTSPLIT(C38,"|")</f>
        <v>En ce qui concerne la ronde, un point dit sensible est :</v>
      </c>
      <c r="E38" t="str">
        <v>Un point qui en cas d’atteinte pourrait handicaper le bon fonctionnement de l’entreprise</v>
      </c>
      <c r="F38" t="str">
        <v>Un point qui a fait l’objet d’une non-conformité relevée lors d’un contrôle du CNAPS</v>
      </c>
      <c r="G38" t="str">
        <v>Un point comportant un danger permanent</v>
      </c>
      <c r="H38" t="str">
        <v>Un point convoité par les voleurs</v>
      </c>
      <c r="I38" t="str">
        <v>Aucune des autres réponses</v>
      </c>
    </row>
    <row r="39" spans="1:9" x14ac:dyDescent="0.25">
      <c r="A39" s="6" t="s">
        <v>429</v>
      </c>
      <c r="B39">
        <f t="shared" si="0"/>
        <v>11</v>
      </c>
      <c r="C39" t="str">
        <f t="shared" si="2"/>
        <v>Vous êtes agent en arrière caisse dans un magasin, pouvez-vous procéder à l’inspection visuelle des sacs d’achat de personnes déjà passées en caisse ?|Seulement en présence des forces de l’ordre|Oui, si vos consignes le précisent|Oui, comme bon vous semble|Uniquement si le plan Vigipirate est déclenché|Aucune des autres réponses</v>
      </c>
      <c r="D39" t="str" cm="1">
        <f t="array" ref="D39:I39">_xlfn.TEXTSPLIT(C39,"|")</f>
        <v>Vous êtes agent en arrière caisse dans un magasin, pouvez-vous procéder à l’inspection visuelle des sacs d’achat de personnes déjà passées en caisse ?</v>
      </c>
      <c r="E39" t="str">
        <v>Seulement en présence des forces de l’ordre</v>
      </c>
      <c r="F39" t="str">
        <v>Oui, si vos consignes le précisent</v>
      </c>
      <c r="G39" t="str">
        <v>Oui, comme bon vous semble</v>
      </c>
      <c r="H39" t="str">
        <v>Uniquement si le plan Vigipirate est déclenché</v>
      </c>
      <c r="I39" t="str">
        <v>Aucune des autres réponses</v>
      </c>
    </row>
    <row r="40" spans="1:9" x14ac:dyDescent="0.25">
      <c r="A40" s="6" t="s">
        <v>430</v>
      </c>
      <c r="B40">
        <f t="shared" si="0"/>
        <v>11</v>
      </c>
      <c r="C40" t="str">
        <f t="shared" si="2"/>
        <v>Quels sont les différents moyens de communication mis à disposition d’un agent de sécurité ?|Les moyens de liaison|Les moyens d'alarme|Les moyens de protection|Les moyens télépathiques|Aucune des autres réponses</v>
      </c>
      <c r="D40" t="str" cm="1">
        <f t="array" ref="D40:I40">_xlfn.TEXTSPLIT(C40,"|")</f>
        <v>Quels sont les différents moyens de communication mis à disposition d’un agent de sécurité ?</v>
      </c>
      <c r="E40" t="str">
        <v>Les moyens de liaison</v>
      </c>
      <c r="F40" t="str">
        <v>Les moyens d'alarme</v>
      </c>
      <c r="G40" t="str">
        <v>Les moyens de protection</v>
      </c>
      <c r="H40" t="str">
        <v>Les moyens télépathiques</v>
      </c>
      <c r="I40" t="str">
        <v>Aucune des autres réponses</v>
      </c>
    </row>
    <row r="41" spans="1:9" x14ac:dyDescent="0.25">
      <c r="A41" s="6" t="s">
        <v>431</v>
      </c>
      <c r="B41">
        <f t="shared" si="0"/>
        <v>11</v>
      </c>
      <c r="C41" t="str">
        <f t="shared" si="2"/>
        <v>Face à une réquisition légale ?|On peut refuser de l’exécuter s’il n’y a pas la présence d’un sceau du service de police ou de gendarmerie|On peut refuser de l’exécuter si on n’est pas en fonction d’agent de sécurité|On peut refuser de l’exécuter sans motif légitime|On ne peut sans motif légitime refuser de l’exécuter sous peine d’être poursuivi|Aucune des autres réponses</v>
      </c>
      <c r="D41" t="str" cm="1">
        <f t="array" ref="D41:I41">_xlfn.TEXTSPLIT(C41,"|")</f>
        <v>Face à une réquisition légale ?</v>
      </c>
      <c r="E41" t="str">
        <v>On peut refuser de l’exécuter s’il n’y a pas la présence d’un sceau du service de police ou de gendarmerie</v>
      </c>
      <c r="F41" t="str">
        <v>On peut refuser de l’exécuter si on n’est pas en fonction d’agent de sécurité</v>
      </c>
      <c r="G41" t="str">
        <v>On peut refuser de l’exécuter sans motif légitime</v>
      </c>
      <c r="H41" t="str">
        <v>On ne peut sans motif légitime refuser de l’exécuter sous peine d’être poursuivi</v>
      </c>
      <c r="I41" t="str">
        <v>Aucune des autres réponses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18</vt:i4>
      </vt:variant>
    </vt:vector>
  </HeadingPairs>
  <TitlesOfParts>
    <vt:vector size="21" baseType="lpstr">
      <vt:lpstr>Liste_Questions</vt:lpstr>
      <vt:lpstr>Liste_UV</vt:lpstr>
      <vt:lpstr>Feuil1</vt:lpstr>
      <vt:lpstr>Feuil1!_1x11d5k5io24</vt:lpstr>
      <vt:lpstr>Feuil1!_2k99lr79hl9i</vt:lpstr>
      <vt:lpstr>Feuil1!_2utln1nfnqsx</vt:lpstr>
      <vt:lpstr>Feuil1!_62p8mewzupdh</vt:lpstr>
      <vt:lpstr>Feuil1!_6sxpqe84lwy</vt:lpstr>
      <vt:lpstr>Feuil1!_8vd2wc5v9auo</vt:lpstr>
      <vt:lpstr>Feuil1!_atn6jtpgu1zu</vt:lpstr>
      <vt:lpstr>Feuil1!_be1fc6ea00hk</vt:lpstr>
      <vt:lpstr>Feuil1!_e8p5frs5ytai</vt:lpstr>
      <vt:lpstr>Feuil1!_g70xgby2qf4</vt:lpstr>
      <vt:lpstr>Feuil1!_g9qmie434sne</vt:lpstr>
      <vt:lpstr>Feuil1!_i84ik2pub0j3</vt:lpstr>
      <vt:lpstr>Feuil1!_nyqwx0jkl5qi</vt:lpstr>
      <vt:lpstr>Feuil1!_tt764b9auzq8</vt:lpstr>
      <vt:lpstr>Feuil1!_u9haniwxsi9j</vt:lpstr>
      <vt:lpstr>Feuil1!_wpn81467iw0b</vt:lpstr>
      <vt:lpstr>Feuil1!_xgrsy6hezdp9</vt:lpstr>
      <vt:lpstr>Feuil1!_yj4hh6ff2wx9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MONGE Céline</cp:lastModifiedBy>
  <dcterms:created xsi:type="dcterms:W3CDTF">2025-11-13T07:17:07Z</dcterms:created>
  <dcterms:modified xsi:type="dcterms:W3CDTF">2025-11-13T14:59:30Z</dcterms:modified>
</cp:coreProperties>
</file>