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aher-my.sharepoint.com/personal/2104474_daher_com/Documents/Documents/WORK/PYTHON/apps/Questions_TFP_APS/"/>
    </mc:Choice>
  </mc:AlternateContent>
  <xr:revisionPtr revIDLastSave="479" documentId="13_ncr:1_{2ACE7C71-CCF8-48B7-AEC7-69C3CEDFEA63}" xr6:coauthVersionLast="47" xr6:coauthVersionMax="47" xr10:uidLastSave="{563156A6-C701-4544-B924-3AB98E28A67D}"/>
  <bookViews>
    <workbookView xWindow="-120" yWindow="-120" windowWidth="29040" windowHeight="15720" xr2:uid="{00000000-000D-0000-FFFF-FFFF00000000}"/>
  </bookViews>
  <sheets>
    <sheet name="Liste_Questions" sheetId="1" r:id="rId1"/>
    <sheet name="Liste_UV" sheetId="2" r:id="rId2"/>
    <sheet name="Feuil1" sheetId="3" r:id="rId3"/>
  </sheets>
  <definedNames>
    <definedName name="_1h997plu2r3q" localSheetId="2">Feuil1!$A$169</definedName>
    <definedName name="_1x11d5k5io24" localSheetId="2">Feuil1!$A$26</definedName>
    <definedName name="_25b71xk2i301" localSheetId="2">Feuil1!$A$109</definedName>
    <definedName name="_2k99lr79hl9i" localSheetId="2">Feuil1!$A$5</definedName>
    <definedName name="_2utln1nfnqsx" localSheetId="2">Feuil1!$A$2</definedName>
    <definedName name="_3bxdsxq7p8gw" localSheetId="2">Feuil1!$A$165</definedName>
    <definedName name="_5ocrwot4q9or" localSheetId="2">Feuil1!$A$210</definedName>
    <definedName name="_62p8mewzupdh" localSheetId="2">Feuil1!$A$9</definedName>
    <definedName name="_63ehbuvcc3tw" localSheetId="2">Feuil1!$A$174</definedName>
    <definedName name="_6g3puvkrrskn" localSheetId="2">Feuil1!$A$173</definedName>
    <definedName name="_6sxpqe84lwy" localSheetId="2">Feuil1!$A$27</definedName>
    <definedName name="_76u3b285zost" localSheetId="2">Feuil1!$A$191</definedName>
    <definedName name="_76x8livz92e3" localSheetId="2">Feuil1!$A$207</definedName>
    <definedName name="_7npq3rapq3b5" localSheetId="2">Feuil1!$A$211</definedName>
    <definedName name="_847vco2er5vx" localSheetId="2">Feuil1!#REF!</definedName>
    <definedName name="_8i1gdydhdqo8" localSheetId="2">Feuil1!$A$206</definedName>
    <definedName name="_8vd2wc5v9auo" localSheetId="2">Feuil1!$A$12</definedName>
    <definedName name="_92rzspumfy17" localSheetId="2">Feuil1!$A$204</definedName>
    <definedName name="_9hexdyk5v0wx" localSheetId="2">Feuil1!$A$167</definedName>
    <definedName name="_9jeesbxf4272" localSheetId="2">Feuil1!$A$193</definedName>
    <definedName name="_9o8iqnw0882k" localSheetId="2">Feuil1!$A$181</definedName>
    <definedName name="_a1blj5gc9j8j" localSheetId="2">Feuil1!$A$163</definedName>
    <definedName name="_a20iajxrewtn" localSheetId="2">Feuil1!$A$212</definedName>
    <definedName name="_a75ul79bzp21" localSheetId="2">Feuil1!$A$179</definedName>
    <definedName name="_atn6jtpgu1zu" localSheetId="2">Feuil1!$A$6</definedName>
    <definedName name="_b77wlvmmh9wq" localSheetId="2">Feuil1!$A$176</definedName>
    <definedName name="_be1fc6ea00hk" localSheetId="2">Feuil1!$A$24</definedName>
    <definedName name="_byzztlualq0q" localSheetId="2">Feuil1!$A$198</definedName>
    <definedName name="_ccy2pemctn8p" localSheetId="2">Feuil1!$A$178</definedName>
    <definedName name="_chgzqrac0okr" localSheetId="2">Feuil1!$A$161</definedName>
    <definedName name="_dwwrsfcgojso" localSheetId="2">Feuil1!$A$171</definedName>
    <definedName name="_e8p5frs5ytai" localSheetId="2">Feuil1!$A$3</definedName>
    <definedName name="_eltq1ml39i8g" localSheetId="2">Feuil1!$A$110</definedName>
    <definedName name="_f4und4vdlss2" localSheetId="2">Feuil1!$A$188</definedName>
    <definedName name="_xlnm._FilterDatabase" localSheetId="0" hidden="1">Liste_Questions!$A$1:$J$281</definedName>
    <definedName name="_g0y5qe76r34g" localSheetId="2">Feuil1!$A$195</definedName>
    <definedName name="_g70xgby2qf4" localSheetId="2">Feuil1!$A$4</definedName>
    <definedName name="_g8ek9utgccwp" localSheetId="2">Feuil1!$A$209</definedName>
    <definedName name="_g9qmie434sne" localSheetId="2">Feuil1!$A$10</definedName>
    <definedName name="_gawbf46ma6oj" localSheetId="2">Feuil1!$A$201</definedName>
    <definedName name="_gelkcw7y8ynz" localSheetId="2">Feuil1!$A$199</definedName>
    <definedName name="_hdt4xnw2zsex" localSheetId="2">Feuil1!$A$197</definedName>
    <definedName name="_hm9eh7d297ex" localSheetId="2">Feuil1!$A$186</definedName>
    <definedName name="_hplm79wzz7gn" localSheetId="2">Feuil1!#REF!</definedName>
    <definedName name="_i1nfs8unu8of" localSheetId="2">Feuil1!$A$185</definedName>
    <definedName name="_i84ik2pub0j3" localSheetId="2">Feuil1!$A$23</definedName>
    <definedName name="_ieozcmlv3r2" localSheetId="2">Feuil1!$A$184</definedName>
    <definedName name="_iqeveq8of09t" localSheetId="2">Feuil1!$A$168</definedName>
    <definedName name="_j9lo7fkxjlb" localSheetId="2">Feuil1!$A$160</definedName>
    <definedName name="_kc00q4gy8hb8" localSheetId="2">Feuil1!$A$183</definedName>
    <definedName name="_kg2jlon5v06" localSheetId="2">Feuil1!$A$192</definedName>
    <definedName name="_kor4i06yw3hg" localSheetId="2">Feuil1!$A$190</definedName>
    <definedName name="_kwnngch1lt48" localSheetId="2">Feuil1!$A$196</definedName>
    <definedName name="_lx174ek5g80a" localSheetId="2">Feuil1!$A$200</definedName>
    <definedName name="_nyqwx0jkl5qi" localSheetId="2">Feuil1!$A$33</definedName>
    <definedName name="_nz347gkbav67" localSheetId="2">Feuil1!$A$180</definedName>
    <definedName name="_odb06e873shv" localSheetId="2">Feuil1!$A$182</definedName>
    <definedName name="_p9wiu4shs9hc" localSheetId="2">Feuil1!$A$112</definedName>
    <definedName name="_pzw7706yg5ao" localSheetId="2">Feuil1!$A$162</definedName>
    <definedName name="_qf459c9a8pp1" localSheetId="2">Feuil1!$A$194</definedName>
    <definedName name="_qxb3o5v8mgjr" localSheetId="2">Feuil1!$A$172</definedName>
    <definedName name="_r9s9ghg1e3hf" localSheetId="2">Feuil1!$A$189</definedName>
    <definedName name="_sicn53eiffia" localSheetId="2">Feuil1!$A$166</definedName>
    <definedName name="_tt764b9auzq8" localSheetId="2">Feuil1!$A$8</definedName>
    <definedName name="_u74njex1xmue" localSheetId="2">Feuil1!$A$202</definedName>
    <definedName name="_u9haniwxsi9j" localSheetId="2">Feuil1!$A$16</definedName>
    <definedName name="_utuurwq44qbd" localSheetId="2">Feuil1!$A$214</definedName>
    <definedName name="_v2a1uzdymhjv" localSheetId="2">Feuil1!$A$205</definedName>
    <definedName name="_vdgtxnft4z9o" localSheetId="2">Feuil1!$A$164</definedName>
    <definedName name="_vk618iff2ee1" localSheetId="2">Feuil1!$A$111</definedName>
    <definedName name="_vs7np853i52g" localSheetId="2">Feuil1!$A$177</definedName>
    <definedName name="_vyvwb23eh5z1" localSheetId="2">Feuil1!$A$208</definedName>
    <definedName name="_w3sb88kffkq" localSheetId="2">Feuil1!$A$213</definedName>
    <definedName name="_wpn81467iw0b" localSheetId="2">Feuil1!$A$7</definedName>
    <definedName name="_x6nck1a900y" localSheetId="2">Feuil1!$A$187</definedName>
    <definedName name="_xgrsy6hezdp9" localSheetId="2">Feuil1!$A$25</definedName>
    <definedName name="_y4xt3quxwyvi" localSheetId="2">Feuil1!$A$175</definedName>
    <definedName name="_yj4hh6ff2wx9" localSheetId="2">Feuil1!$A$28</definedName>
    <definedName name="_yyxysi2ip7um" localSheetId="2">Feuil1!$A$203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1" i="3" l="1"/>
  <c r="C161" i="3" s="1"/>
  <c r="D161" i="3" s="1" a="1"/>
  <c r="D161" i="3" s="1"/>
  <c r="B162" i="3"/>
  <c r="C162" i="3"/>
  <c r="D162" i="3" a="1"/>
  <c r="D162" i="3"/>
  <c r="B163" i="3"/>
  <c r="C163" i="3"/>
  <c r="D163" i="3" a="1"/>
  <c r="D163" i="3"/>
  <c r="B164" i="3"/>
  <c r="C164" i="3"/>
  <c r="D164" i="3" a="1"/>
  <c r="D164" i="3"/>
  <c r="B165" i="3"/>
  <c r="C165" i="3" s="1"/>
  <c r="D165" i="3" s="1" a="1"/>
  <c r="D165" i="3" s="1"/>
  <c r="B166" i="3"/>
  <c r="C166" i="3"/>
  <c r="D166" i="3" a="1"/>
  <c r="D166" i="3"/>
  <c r="B167" i="3"/>
  <c r="C167" i="3"/>
  <c r="D167" i="3" a="1"/>
  <c r="D167" i="3"/>
  <c r="B168" i="3"/>
  <c r="C168" i="3"/>
  <c r="D168" i="3" a="1"/>
  <c r="D168" i="3"/>
  <c r="B169" i="3"/>
  <c r="C169" i="3" s="1"/>
  <c r="D169" i="3" s="1" a="1"/>
  <c r="D169" i="3" s="1"/>
  <c r="B170" i="3"/>
  <c r="C170" i="3"/>
  <c r="D170" i="3" a="1"/>
  <c r="D170" i="3"/>
  <c r="B171" i="3"/>
  <c r="C171" i="3"/>
  <c r="D171" i="3" a="1"/>
  <c r="D171" i="3"/>
  <c r="B172" i="3"/>
  <c r="C172" i="3"/>
  <c r="D172" i="3" a="1"/>
  <c r="D172" i="3"/>
  <c r="B173" i="3"/>
  <c r="C173" i="3" s="1"/>
  <c r="D173" i="3" s="1" a="1"/>
  <c r="D173" i="3" s="1"/>
  <c r="B174" i="3"/>
  <c r="C174" i="3"/>
  <c r="D174" i="3" a="1"/>
  <c r="D174" i="3"/>
  <c r="B175" i="3"/>
  <c r="C175" i="3"/>
  <c r="D175" i="3" a="1"/>
  <c r="D175" i="3"/>
  <c r="B176" i="3"/>
  <c r="C176" i="3"/>
  <c r="D176" i="3" a="1"/>
  <c r="D176" i="3"/>
  <c r="B177" i="3"/>
  <c r="C177" i="3" s="1"/>
  <c r="D177" i="3" s="1" a="1"/>
  <c r="D177" i="3" s="1"/>
  <c r="B178" i="3"/>
  <c r="C178" i="3"/>
  <c r="D178" i="3" a="1"/>
  <c r="D178" i="3"/>
  <c r="B179" i="3"/>
  <c r="C179" i="3"/>
  <c r="D179" i="3" a="1"/>
  <c r="D179" i="3"/>
  <c r="B180" i="3"/>
  <c r="C180" i="3"/>
  <c r="D180" i="3" a="1"/>
  <c r="D180" i="3"/>
  <c r="B181" i="3"/>
  <c r="C181" i="3" s="1"/>
  <c r="D181" i="3" s="1" a="1"/>
  <c r="D181" i="3" s="1"/>
  <c r="B182" i="3"/>
  <c r="C182" i="3"/>
  <c r="D182" i="3" a="1"/>
  <c r="D182" i="3"/>
  <c r="B183" i="3"/>
  <c r="C183" i="3"/>
  <c r="D183" i="3" a="1"/>
  <c r="D183" i="3"/>
  <c r="B184" i="3"/>
  <c r="C184" i="3"/>
  <c r="D184" i="3" a="1"/>
  <c r="D184" i="3"/>
  <c r="B185" i="3"/>
  <c r="C185" i="3" s="1"/>
  <c r="D185" i="3" s="1" a="1"/>
  <c r="D185" i="3" s="1"/>
  <c r="B186" i="3"/>
  <c r="C186" i="3"/>
  <c r="D186" i="3" a="1"/>
  <c r="D186" i="3"/>
  <c r="B187" i="3"/>
  <c r="C187" i="3"/>
  <c r="D187" i="3" a="1"/>
  <c r="D187" i="3"/>
  <c r="B188" i="3"/>
  <c r="C188" i="3"/>
  <c r="D188" i="3" a="1"/>
  <c r="D188" i="3"/>
  <c r="B189" i="3"/>
  <c r="C189" i="3" s="1"/>
  <c r="D189" i="3" s="1" a="1"/>
  <c r="D189" i="3" s="1"/>
  <c r="B190" i="3"/>
  <c r="C190" i="3"/>
  <c r="D190" i="3" a="1"/>
  <c r="D190" i="3"/>
  <c r="B191" i="3"/>
  <c r="C191" i="3"/>
  <c r="D191" i="3" a="1"/>
  <c r="D191" i="3"/>
  <c r="B192" i="3"/>
  <c r="C192" i="3"/>
  <c r="D192" i="3" a="1"/>
  <c r="D192" i="3"/>
  <c r="B193" i="3"/>
  <c r="C193" i="3" s="1"/>
  <c r="D193" i="3" s="1" a="1"/>
  <c r="D193" i="3" s="1"/>
  <c r="B194" i="3"/>
  <c r="C194" i="3"/>
  <c r="D194" i="3" a="1"/>
  <c r="D194" i="3"/>
  <c r="B195" i="3"/>
  <c r="C195" i="3"/>
  <c r="D195" i="3" a="1"/>
  <c r="D195" i="3"/>
  <c r="B196" i="3"/>
  <c r="C196" i="3"/>
  <c r="D196" i="3" a="1"/>
  <c r="D196" i="3"/>
  <c r="B197" i="3"/>
  <c r="C197" i="3" s="1"/>
  <c r="D197" i="3" s="1" a="1"/>
  <c r="D197" i="3" s="1"/>
  <c r="B198" i="3"/>
  <c r="C198" i="3"/>
  <c r="D198" i="3" a="1"/>
  <c r="D198" i="3"/>
  <c r="B199" i="3"/>
  <c r="C199" i="3"/>
  <c r="D199" i="3" a="1"/>
  <c r="D199" i="3"/>
  <c r="B200" i="3"/>
  <c r="C200" i="3"/>
  <c r="D200" i="3" a="1"/>
  <c r="D200" i="3"/>
  <c r="B201" i="3"/>
  <c r="C201" i="3" s="1"/>
  <c r="D201" i="3" s="1" a="1"/>
  <c r="D201" i="3" s="1"/>
  <c r="B202" i="3"/>
  <c r="C202" i="3"/>
  <c r="D202" i="3" a="1"/>
  <c r="D202" i="3"/>
  <c r="B203" i="3"/>
  <c r="C203" i="3"/>
  <c r="D203" i="3" a="1"/>
  <c r="D203" i="3"/>
  <c r="B204" i="3"/>
  <c r="C204" i="3"/>
  <c r="D204" i="3" a="1"/>
  <c r="D204" i="3"/>
  <c r="B205" i="3"/>
  <c r="C205" i="3" s="1"/>
  <c r="D205" i="3" s="1" a="1"/>
  <c r="D205" i="3" s="1"/>
  <c r="B206" i="3"/>
  <c r="C206" i="3"/>
  <c r="D206" i="3" a="1"/>
  <c r="D206" i="3"/>
  <c r="B207" i="3"/>
  <c r="C207" i="3"/>
  <c r="D207" i="3" a="1"/>
  <c r="D207" i="3"/>
  <c r="B208" i="3"/>
  <c r="C208" i="3"/>
  <c r="D208" i="3" a="1"/>
  <c r="D208" i="3" s="1"/>
  <c r="B209" i="3"/>
  <c r="C209" i="3" s="1"/>
  <c r="D209" i="3" s="1" a="1"/>
  <c r="D209" i="3" s="1"/>
  <c r="B210" i="3"/>
  <c r="C210" i="3"/>
  <c r="D210" i="3" a="1"/>
  <c r="D210" i="3"/>
  <c r="B211" i="3"/>
  <c r="C211" i="3"/>
  <c r="D211" i="3" a="1"/>
  <c r="D211" i="3" s="1"/>
  <c r="B212" i="3"/>
  <c r="C212" i="3"/>
  <c r="D212" i="3" a="1"/>
  <c r="D212" i="3" s="1"/>
  <c r="B213" i="3"/>
  <c r="C213" i="3" s="1"/>
  <c r="D213" i="3" s="1" a="1"/>
  <c r="D213" i="3" s="1"/>
  <c r="B214" i="3"/>
  <c r="C214" i="3"/>
  <c r="D214" i="3" a="1"/>
  <c r="D214" i="3"/>
  <c r="B160" i="3"/>
  <c r="C160" i="3" s="1"/>
  <c r="D160" i="3" s="1" a="1"/>
  <c r="D160" i="3" s="1"/>
  <c r="B158" i="3"/>
  <c r="C158" i="3" s="1"/>
  <c r="D158" i="3" s="1" a="1"/>
  <c r="D158" i="3" s="1"/>
  <c r="B157" i="3"/>
  <c r="C157" i="3" s="1"/>
  <c r="D157" i="3" s="1" a="1"/>
  <c r="D157" i="3" s="1"/>
  <c r="B156" i="3"/>
  <c r="C156" i="3" s="1"/>
  <c r="D156" i="3" s="1" a="1"/>
  <c r="D156" i="3" s="1"/>
  <c r="B155" i="3"/>
  <c r="C155" i="3" s="1"/>
  <c r="D155" i="3" s="1" a="1"/>
  <c r="D155" i="3" s="1"/>
  <c r="B154" i="3"/>
  <c r="C154" i="3" s="1"/>
  <c r="D154" i="3" s="1" a="1"/>
  <c r="D154" i="3" s="1"/>
  <c r="B153" i="3"/>
  <c r="C153" i="3" s="1"/>
  <c r="D153" i="3" s="1" a="1"/>
  <c r="D153" i="3" s="1"/>
  <c r="B152" i="3"/>
  <c r="C152" i="3" s="1"/>
  <c r="D152" i="3" s="1" a="1"/>
  <c r="D152" i="3" s="1"/>
  <c r="B151" i="3"/>
  <c r="C151" i="3" s="1"/>
  <c r="D151" i="3" s="1" a="1"/>
  <c r="D151" i="3" s="1"/>
  <c r="B150" i="3"/>
  <c r="C150" i="3" s="1"/>
  <c r="D150" i="3" s="1" a="1"/>
  <c r="D150" i="3" s="1"/>
  <c r="B149" i="3"/>
  <c r="C149" i="3" s="1"/>
  <c r="D149" i="3" s="1" a="1"/>
  <c r="D149" i="3" s="1"/>
  <c r="B148" i="3"/>
  <c r="C148" i="3" s="1"/>
  <c r="D148" i="3" s="1" a="1"/>
  <c r="D148" i="3" s="1"/>
  <c r="B147" i="3"/>
  <c r="C147" i="3" s="1"/>
  <c r="D147" i="3" s="1" a="1"/>
  <c r="D147" i="3" s="1"/>
  <c r="B146" i="3"/>
  <c r="C146" i="3" s="1"/>
  <c r="D146" i="3" s="1" a="1"/>
  <c r="D146" i="3" s="1"/>
  <c r="B145" i="3"/>
  <c r="C145" i="3" s="1"/>
  <c r="D145" i="3" s="1" a="1"/>
  <c r="D145" i="3" s="1"/>
  <c r="B144" i="3"/>
  <c r="C144" i="3" s="1"/>
  <c r="D144" i="3" s="1" a="1"/>
  <c r="D144" i="3" s="1"/>
  <c r="B143" i="3"/>
  <c r="C143" i="3" s="1"/>
  <c r="D143" i="3" s="1" a="1"/>
  <c r="D143" i="3" s="1"/>
  <c r="B142" i="3"/>
  <c r="C142" i="3" s="1"/>
  <c r="D142" i="3" s="1" a="1"/>
  <c r="D142" i="3" s="1"/>
  <c r="B141" i="3"/>
  <c r="C141" i="3" s="1"/>
  <c r="D141" i="3" s="1" a="1"/>
  <c r="D141" i="3" s="1"/>
  <c r="B140" i="3"/>
  <c r="C140" i="3" s="1"/>
  <c r="D140" i="3" s="1" a="1"/>
  <c r="D140" i="3" s="1"/>
  <c r="B139" i="3"/>
  <c r="C139" i="3" s="1"/>
  <c r="D139" i="3" s="1" a="1"/>
  <c r="D139" i="3" s="1"/>
  <c r="B138" i="3"/>
  <c r="C138" i="3" s="1"/>
  <c r="D138" i="3" s="1" a="1"/>
  <c r="D138" i="3" s="1"/>
  <c r="B137" i="3"/>
  <c r="C137" i="3" s="1"/>
  <c r="D137" i="3" s="1" a="1"/>
  <c r="D137" i="3" s="1"/>
  <c r="B136" i="3"/>
  <c r="C136" i="3" s="1"/>
  <c r="D136" i="3" s="1" a="1"/>
  <c r="D136" i="3" s="1"/>
  <c r="B134" i="3"/>
  <c r="C134" i="3" s="1"/>
  <c r="D134" i="3" s="1" a="1"/>
  <c r="D134" i="3" s="1"/>
  <c r="B133" i="3"/>
  <c r="C133" i="3" s="1"/>
  <c r="D133" i="3" s="1" a="1"/>
  <c r="D133" i="3" s="1"/>
  <c r="B132" i="3"/>
  <c r="C132" i="3" s="1"/>
  <c r="D132" i="3" s="1" a="1"/>
  <c r="D132" i="3" s="1"/>
  <c r="B131" i="3"/>
  <c r="C131" i="3" s="1"/>
  <c r="D131" i="3" s="1" a="1"/>
  <c r="D131" i="3" s="1"/>
  <c r="B130" i="3"/>
  <c r="C130" i="3" s="1"/>
  <c r="D130" i="3" s="1" a="1"/>
  <c r="D130" i="3" s="1"/>
  <c r="B129" i="3"/>
  <c r="C129" i="3" s="1"/>
  <c r="D129" i="3" s="1" a="1"/>
  <c r="D129" i="3" s="1"/>
  <c r="B128" i="3"/>
  <c r="C128" i="3" s="1"/>
  <c r="D128" i="3" s="1" a="1"/>
  <c r="D128" i="3" s="1"/>
  <c r="B127" i="3"/>
  <c r="C127" i="3" s="1"/>
  <c r="D127" i="3" s="1" a="1"/>
  <c r="D127" i="3" s="1"/>
  <c r="B126" i="3"/>
  <c r="C126" i="3" s="1"/>
  <c r="D126" i="3" s="1" a="1"/>
  <c r="D126" i="3" s="1"/>
  <c r="B125" i="3"/>
  <c r="C125" i="3" s="1"/>
  <c r="D125" i="3" s="1" a="1"/>
  <c r="D125" i="3" s="1"/>
  <c r="B123" i="3"/>
  <c r="C123" i="3" s="1"/>
  <c r="D123" i="3" s="1" a="1"/>
  <c r="D123" i="3" s="1"/>
  <c r="B122" i="3"/>
  <c r="C122" i="3" s="1"/>
  <c r="D122" i="3" s="1" a="1"/>
  <c r="D122" i="3" s="1"/>
  <c r="B121" i="3"/>
  <c r="C121" i="3" s="1"/>
  <c r="D121" i="3" s="1" a="1"/>
  <c r="D121" i="3" s="1"/>
  <c r="B120" i="3"/>
  <c r="C120" i="3" s="1"/>
  <c r="D120" i="3" s="1" a="1"/>
  <c r="D120" i="3" s="1"/>
  <c r="B119" i="3"/>
  <c r="C119" i="3" s="1"/>
  <c r="D119" i="3" s="1" a="1"/>
  <c r="D119" i="3" s="1"/>
  <c r="B118" i="3"/>
  <c r="C118" i="3" s="1"/>
  <c r="D118" i="3" s="1" a="1"/>
  <c r="D118" i="3" s="1"/>
  <c r="B117" i="3"/>
  <c r="C117" i="3" s="1"/>
  <c r="D117" i="3" s="1" a="1"/>
  <c r="D117" i="3" s="1"/>
  <c r="B116" i="3"/>
  <c r="C116" i="3" s="1"/>
  <c r="D116" i="3" s="1" a="1"/>
  <c r="D116" i="3" s="1"/>
  <c r="B115" i="3"/>
  <c r="C115" i="3" s="1"/>
  <c r="D115" i="3" s="1" a="1"/>
  <c r="D115" i="3" s="1"/>
  <c r="B114" i="3"/>
  <c r="C114" i="3" s="1"/>
  <c r="D114" i="3" s="1" a="1"/>
  <c r="D114" i="3" s="1"/>
  <c r="B107" i="3"/>
  <c r="C107" i="3" s="1"/>
  <c r="D107" i="3" s="1" a="1"/>
  <c r="D107" i="3" s="1"/>
  <c r="B108" i="3"/>
  <c r="C108" i="3" s="1"/>
  <c r="D108" i="3" s="1" a="1"/>
  <c r="D108" i="3" s="1"/>
  <c r="B109" i="3"/>
  <c r="C109" i="3"/>
  <c r="D109" i="3" s="1" a="1"/>
  <c r="D109" i="3" s="1"/>
  <c r="B110" i="3"/>
  <c r="C110" i="3" s="1"/>
  <c r="D110" i="3" s="1" a="1"/>
  <c r="D110" i="3" s="1"/>
  <c r="B111" i="3"/>
  <c r="C111" i="3" s="1"/>
  <c r="D111" i="3" s="1" a="1"/>
  <c r="D111" i="3" s="1"/>
  <c r="B112" i="3"/>
  <c r="C112" i="3" s="1"/>
  <c r="D112" i="3" s="1" a="1"/>
  <c r="D112" i="3" s="1"/>
  <c r="B106" i="3"/>
  <c r="C106" i="3" s="1"/>
  <c r="D106" i="3" s="1" a="1"/>
  <c r="D106" i="3" s="1"/>
  <c r="B105" i="3"/>
  <c r="C105" i="3" s="1"/>
  <c r="D105" i="3" s="1" a="1"/>
  <c r="D105" i="3" s="1"/>
  <c r="B104" i="3"/>
  <c r="C104" i="3" s="1"/>
  <c r="D104" i="3" s="1" a="1"/>
  <c r="D104" i="3" s="1"/>
  <c r="B103" i="3"/>
  <c r="C103" i="3" s="1"/>
  <c r="D103" i="3" s="1" a="1"/>
  <c r="D103" i="3" s="1"/>
  <c r="B102" i="3"/>
  <c r="C102" i="3" s="1"/>
  <c r="D102" i="3" s="1" a="1"/>
  <c r="D102" i="3" s="1"/>
  <c r="B101" i="3"/>
  <c r="C101" i="3" s="1"/>
  <c r="D101" i="3" s="1" a="1"/>
  <c r="D101" i="3" s="1"/>
  <c r="B100" i="3"/>
  <c r="C100" i="3" s="1"/>
  <c r="D100" i="3" s="1" a="1"/>
  <c r="D100" i="3" s="1"/>
  <c r="B99" i="3"/>
  <c r="C99" i="3" s="1"/>
  <c r="D99" i="3" s="1" a="1"/>
  <c r="D99" i="3" s="1"/>
  <c r="B98" i="3"/>
  <c r="C98" i="3" s="1"/>
  <c r="D98" i="3" s="1" a="1"/>
  <c r="D98" i="3" s="1"/>
  <c r="B97" i="3"/>
  <c r="C97" i="3" s="1"/>
  <c r="D97" i="3" s="1" a="1"/>
  <c r="D97" i="3" s="1"/>
  <c r="B96" i="3"/>
  <c r="C96" i="3" s="1"/>
  <c r="D96" i="3" s="1" a="1"/>
  <c r="D96" i="3" s="1"/>
  <c r="B95" i="3"/>
  <c r="C95" i="3" s="1"/>
  <c r="D95" i="3" s="1" a="1"/>
  <c r="D95" i="3" s="1"/>
  <c r="B94" i="3"/>
  <c r="C94" i="3" s="1"/>
  <c r="D94" i="3" s="1" a="1"/>
  <c r="D94" i="3" s="1"/>
  <c r="B93" i="3"/>
  <c r="C93" i="3" s="1"/>
  <c r="D93" i="3" s="1" a="1"/>
  <c r="D93" i="3" s="1"/>
  <c r="B91" i="3"/>
  <c r="C91" i="3" s="1"/>
  <c r="D91" i="3" s="1" a="1"/>
  <c r="D91" i="3" s="1"/>
  <c r="B90" i="3"/>
  <c r="C90" i="3" s="1"/>
  <c r="D90" i="3" s="1" a="1"/>
  <c r="D90" i="3" s="1"/>
  <c r="B89" i="3"/>
  <c r="C89" i="3" s="1"/>
  <c r="D89" i="3" s="1" a="1"/>
  <c r="D89" i="3" s="1"/>
  <c r="B88" i="3"/>
  <c r="C88" i="3" s="1"/>
  <c r="D88" i="3" s="1" a="1"/>
  <c r="D88" i="3" s="1"/>
  <c r="B87" i="3"/>
  <c r="C87" i="3" s="1"/>
  <c r="D87" i="3" s="1" a="1"/>
  <c r="D87" i="3" s="1"/>
  <c r="B86" i="3"/>
  <c r="C86" i="3" s="1"/>
  <c r="D86" i="3" s="1" a="1"/>
  <c r="D86" i="3" s="1"/>
  <c r="B85" i="3"/>
  <c r="C85" i="3" s="1"/>
  <c r="D85" i="3" s="1" a="1"/>
  <c r="D85" i="3" s="1"/>
  <c r="B84" i="3"/>
  <c r="C84" i="3" s="1"/>
  <c r="D84" i="3" s="1" a="1"/>
  <c r="D84" i="3" s="1"/>
  <c r="B44" i="3"/>
  <c r="C44" i="3" s="1"/>
  <c r="D44" i="3" s="1" a="1"/>
  <c r="D44" i="3" s="1"/>
  <c r="B45" i="3"/>
  <c r="C45" i="3" s="1"/>
  <c r="D45" i="3" s="1" a="1"/>
  <c r="D45" i="3" s="1"/>
  <c r="B46" i="3"/>
  <c r="C46" i="3" s="1"/>
  <c r="D46" i="3" s="1" a="1"/>
  <c r="D46" i="3" s="1"/>
  <c r="B47" i="3"/>
  <c r="C47" i="3" s="1"/>
  <c r="D47" i="3" s="1" a="1"/>
  <c r="D47" i="3" s="1"/>
  <c r="B48" i="3"/>
  <c r="C48" i="3" s="1"/>
  <c r="D48" i="3" s="1" a="1"/>
  <c r="D48" i="3" s="1"/>
  <c r="B49" i="3"/>
  <c r="C49" i="3" s="1"/>
  <c r="D49" i="3" s="1" a="1"/>
  <c r="D49" i="3" s="1"/>
  <c r="B50" i="3"/>
  <c r="C50" i="3" s="1"/>
  <c r="D50" i="3" s="1" a="1"/>
  <c r="D50" i="3" s="1"/>
  <c r="B51" i="3"/>
  <c r="C51" i="3" s="1"/>
  <c r="D51" i="3" s="1" a="1"/>
  <c r="D51" i="3" s="1"/>
  <c r="B52" i="3"/>
  <c r="C52" i="3" s="1"/>
  <c r="D52" i="3" s="1" a="1"/>
  <c r="D52" i="3" s="1"/>
  <c r="B53" i="3"/>
  <c r="C53" i="3" s="1"/>
  <c r="D53" i="3" s="1" a="1"/>
  <c r="D53" i="3" s="1"/>
  <c r="B54" i="3"/>
  <c r="C54" i="3" s="1"/>
  <c r="D54" i="3" s="1" a="1"/>
  <c r="D54" i="3" s="1"/>
  <c r="B55" i="3"/>
  <c r="C55" i="3" s="1"/>
  <c r="D55" i="3" s="1" a="1"/>
  <c r="D55" i="3" s="1"/>
  <c r="B56" i="3"/>
  <c r="C56" i="3" s="1"/>
  <c r="D56" i="3" s="1" a="1"/>
  <c r="D56" i="3" s="1"/>
  <c r="B57" i="3"/>
  <c r="C57" i="3" s="1"/>
  <c r="D57" i="3" s="1" a="1"/>
  <c r="D57" i="3" s="1"/>
  <c r="B58" i="3"/>
  <c r="C58" i="3" s="1"/>
  <c r="D58" i="3" s="1" a="1"/>
  <c r="D58" i="3" s="1"/>
  <c r="B59" i="3"/>
  <c r="C59" i="3" s="1"/>
  <c r="D59" i="3" s="1" a="1"/>
  <c r="D59" i="3" s="1"/>
  <c r="B60" i="3"/>
  <c r="C60" i="3" s="1"/>
  <c r="D60" i="3" s="1" a="1"/>
  <c r="D60" i="3" s="1"/>
  <c r="B61" i="3"/>
  <c r="C61" i="3" s="1"/>
  <c r="D61" i="3" s="1" a="1"/>
  <c r="D61" i="3" s="1"/>
  <c r="B62" i="3"/>
  <c r="C62" i="3" s="1"/>
  <c r="D62" i="3" s="1" a="1"/>
  <c r="D62" i="3" s="1"/>
  <c r="B63" i="3"/>
  <c r="C63" i="3" s="1"/>
  <c r="D63" i="3" s="1" a="1"/>
  <c r="D63" i="3" s="1"/>
  <c r="B64" i="3"/>
  <c r="C64" i="3" s="1"/>
  <c r="D64" i="3" s="1" a="1"/>
  <c r="D64" i="3" s="1"/>
  <c r="B65" i="3"/>
  <c r="C65" i="3" s="1"/>
  <c r="D65" i="3" s="1" a="1"/>
  <c r="D65" i="3" s="1"/>
  <c r="B66" i="3"/>
  <c r="C66" i="3" s="1"/>
  <c r="D66" i="3" s="1" a="1"/>
  <c r="D66" i="3" s="1"/>
  <c r="B67" i="3"/>
  <c r="C67" i="3" s="1"/>
  <c r="D67" i="3" s="1" a="1"/>
  <c r="D67" i="3" s="1"/>
  <c r="B68" i="3"/>
  <c r="C68" i="3" s="1"/>
  <c r="D68" i="3" s="1" a="1"/>
  <c r="D68" i="3" s="1"/>
  <c r="B69" i="3"/>
  <c r="C69" i="3" s="1"/>
  <c r="D69" i="3" s="1" a="1"/>
  <c r="D69" i="3" s="1"/>
  <c r="B70" i="3"/>
  <c r="C70" i="3" s="1"/>
  <c r="D70" i="3" s="1" a="1"/>
  <c r="D70" i="3" s="1"/>
  <c r="B71" i="3"/>
  <c r="C71" i="3" s="1"/>
  <c r="D71" i="3" s="1" a="1"/>
  <c r="D71" i="3" s="1"/>
  <c r="B72" i="3"/>
  <c r="C72" i="3" s="1"/>
  <c r="D72" i="3" s="1" a="1"/>
  <c r="D72" i="3" s="1"/>
  <c r="B73" i="3"/>
  <c r="C73" i="3" s="1"/>
  <c r="D73" i="3" s="1" a="1"/>
  <c r="D73" i="3" s="1"/>
  <c r="B74" i="3"/>
  <c r="C74" i="3" s="1"/>
  <c r="D74" i="3" s="1" a="1"/>
  <c r="D74" i="3" s="1"/>
  <c r="B75" i="3"/>
  <c r="C75" i="3" s="1"/>
  <c r="D75" i="3" s="1" a="1"/>
  <c r="D75" i="3" s="1"/>
  <c r="B76" i="3"/>
  <c r="C76" i="3" s="1"/>
  <c r="D76" i="3" s="1" a="1"/>
  <c r="D76" i="3" s="1"/>
  <c r="B77" i="3"/>
  <c r="C77" i="3" s="1"/>
  <c r="D77" i="3" s="1" a="1"/>
  <c r="D77" i="3" s="1"/>
  <c r="B78" i="3"/>
  <c r="C78" i="3" s="1"/>
  <c r="D78" i="3" s="1" a="1"/>
  <c r="D78" i="3" s="1"/>
  <c r="B79" i="3"/>
  <c r="C79" i="3" s="1"/>
  <c r="D79" i="3" s="1" a="1"/>
  <c r="D79" i="3" s="1"/>
  <c r="B80" i="3"/>
  <c r="C80" i="3" s="1"/>
  <c r="D80" i="3" s="1" a="1"/>
  <c r="D80" i="3" s="1"/>
  <c r="B81" i="3"/>
  <c r="C81" i="3" s="1"/>
  <c r="D81" i="3" s="1" a="1"/>
  <c r="D81" i="3" s="1"/>
  <c r="B82" i="3"/>
  <c r="C82" i="3" s="1"/>
  <c r="D82" i="3" s="1" a="1"/>
  <c r="D82" i="3" s="1"/>
  <c r="B43" i="3"/>
  <c r="C43" i="3" s="1"/>
  <c r="D43" i="3" s="1" a="1"/>
  <c r="D43" i="3" s="1"/>
  <c r="B42" i="3"/>
  <c r="C42" i="3" s="1"/>
  <c r="D42" i="3" s="1" a="1"/>
  <c r="D42" i="3" s="1"/>
  <c r="B29" i="3"/>
  <c r="C29" i="3" s="1"/>
  <c r="D29" i="3" s="1" a="1"/>
  <c r="D29" i="3" s="1"/>
  <c r="B30" i="3"/>
  <c r="C30" i="3" s="1"/>
  <c r="D30" i="3" s="1" a="1"/>
  <c r="D30" i="3" s="1"/>
  <c r="B31" i="3"/>
  <c r="C31" i="3" s="1"/>
  <c r="D31" i="3" s="1" a="1"/>
  <c r="D31" i="3" s="1"/>
  <c r="B32" i="3"/>
  <c r="C32" i="3" s="1"/>
  <c r="D32" i="3" s="1" a="1"/>
  <c r="D32" i="3" s="1"/>
  <c r="B33" i="3"/>
  <c r="C33" i="3"/>
  <c r="D33" i="3" s="1" a="1"/>
  <c r="D33" i="3" s="1"/>
  <c r="B34" i="3"/>
  <c r="C34" i="3" s="1"/>
  <c r="D34" i="3" s="1" a="1"/>
  <c r="D34" i="3" s="1"/>
  <c r="B35" i="3"/>
  <c r="C35" i="3" s="1"/>
  <c r="D35" i="3" s="1" a="1"/>
  <c r="D35" i="3" s="1"/>
  <c r="B36" i="3"/>
  <c r="C36" i="3" s="1"/>
  <c r="D36" i="3" s="1" a="1"/>
  <c r="D36" i="3" s="1"/>
  <c r="B37" i="3"/>
  <c r="C37" i="3"/>
  <c r="D37" i="3" s="1" a="1"/>
  <c r="D37" i="3" s="1"/>
  <c r="B38" i="3"/>
  <c r="C38" i="3" s="1"/>
  <c r="D38" i="3" s="1" a="1"/>
  <c r="D38" i="3" s="1"/>
  <c r="B39" i="3"/>
  <c r="C39" i="3" s="1"/>
  <c r="D39" i="3" s="1" a="1"/>
  <c r="D39" i="3" s="1"/>
  <c r="B40" i="3"/>
  <c r="C40" i="3" s="1"/>
  <c r="D40" i="3" s="1" a="1"/>
  <c r="D40" i="3" s="1"/>
  <c r="B41" i="3"/>
  <c r="C41" i="3" s="1"/>
  <c r="D41" i="3" s="1" a="1"/>
  <c r="D41" i="3" s="1"/>
  <c r="B11" i="3"/>
  <c r="C11" i="3" s="1"/>
  <c r="D11" i="3" s="1" a="1"/>
  <c r="D11" i="3" s="1"/>
  <c r="B12" i="3"/>
  <c r="C12" i="3" s="1"/>
  <c r="D12" i="3" s="1" a="1"/>
  <c r="D12" i="3" s="1"/>
  <c r="B13" i="3"/>
  <c r="C13" i="3" s="1"/>
  <c r="D13" i="3" s="1" a="1"/>
  <c r="D13" i="3" s="1"/>
  <c r="B14" i="3"/>
  <c r="C14" i="3"/>
  <c r="D14" i="3" s="1" a="1"/>
  <c r="D14" i="3" s="1"/>
  <c r="B15" i="3"/>
  <c r="C15" i="3" s="1"/>
  <c r="D15" i="3" s="1" a="1"/>
  <c r="D15" i="3" s="1"/>
  <c r="B16" i="3"/>
  <c r="C16" i="3" s="1"/>
  <c r="D16" i="3" s="1" a="1"/>
  <c r="D16" i="3" s="1"/>
  <c r="B17" i="3"/>
  <c r="C17" i="3" s="1"/>
  <c r="D17" i="3" s="1" a="1"/>
  <c r="D17" i="3" s="1"/>
  <c r="B18" i="3"/>
  <c r="C18" i="3"/>
  <c r="D18" i="3" s="1" a="1"/>
  <c r="D18" i="3" s="1"/>
  <c r="B19" i="3"/>
  <c r="C19" i="3" s="1"/>
  <c r="D19" i="3" s="1" a="1"/>
  <c r="D19" i="3" s="1"/>
  <c r="B20" i="3"/>
  <c r="C20" i="3" s="1"/>
  <c r="D20" i="3" s="1" a="1"/>
  <c r="D20" i="3" s="1"/>
  <c r="B21" i="3"/>
  <c r="C21" i="3" s="1"/>
  <c r="D21" i="3" s="1" a="1"/>
  <c r="D21" i="3" s="1"/>
  <c r="B22" i="3"/>
  <c r="C22" i="3" s="1"/>
  <c r="D22" i="3" s="1" a="1"/>
  <c r="D22" i="3" s="1"/>
  <c r="B23" i="3"/>
  <c r="C23" i="3" s="1"/>
  <c r="D23" i="3" s="1" a="1"/>
  <c r="D23" i="3" s="1"/>
  <c r="B24" i="3"/>
  <c r="C24" i="3" s="1"/>
  <c r="D24" i="3" s="1" a="1"/>
  <c r="D24" i="3" s="1"/>
  <c r="B25" i="3"/>
  <c r="C25" i="3" s="1"/>
  <c r="D25" i="3" s="1" a="1"/>
  <c r="D25" i="3" s="1"/>
  <c r="B26" i="3"/>
  <c r="C26" i="3"/>
  <c r="D26" i="3" s="1" a="1"/>
  <c r="D26" i="3" s="1"/>
  <c r="B27" i="3"/>
  <c r="C27" i="3"/>
  <c r="D27" i="3" s="1" a="1"/>
  <c r="D27" i="3" s="1"/>
  <c r="B28" i="3"/>
  <c r="C28" i="3" s="1"/>
  <c r="D28" i="3" s="1" a="1"/>
  <c r="D28" i="3" s="1"/>
  <c r="B2" i="3"/>
  <c r="C2" i="3" s="1"/>
  <c r="D2" i="3" s="1" a="1"/>
  <c r="D2" i="3" s="1"/>
  <c r="B3" i="3"/>
  <c r="C3" i="3" s="1"/>
  <c r="D3" i="3" s="1" a="1"/>
  <c r="D3" i="3" s="1"/>
  <c r="B4" i="3"/>
  <c r="C4" i="3" s="1"/>
  <c r="D4" i="3" s="1" a="1"/>
  <c r="D4" i="3" s="1"/>
  <c r="B5" i="3"/>
  <c r="C5" i="3" s="1"/>
  <c r="D5" i="3" s="1" a="1"/>
  <c r="D5" i="3" s="1"/>
  <c r="B6" i="3"/>
  <c r="C6" i="3" s="1"/>
  <c r="D6" i="3" s="1" a="1"/>
  <c r="D6" i="3" s="1"/>
  <c r="B7" i="3"/>
  <c r="C7" i="3" s="1"/>
  <c r="D7" i="3" s="1" a="1"/>
  <c r="D7" i="3" s="1"/>
  <c r="B8" i="3"/>
  <c r="C8" i="3" s="1"/>
  <c r="D8" i="3" s="1" a="1"/>
  <c r="D8" i="3" s="1"/>
  <c r="B9" i="3"/>
  <c r="C9" i="3" s="1"/>
  <c r="D9" i="3" s="1" a="1"/>
  <c r="D9" i="3" s="1"/>
  <c r="B10" i="3"/>
  <c r="C10" i="3" s="1"/>
  <c r="D10" i="3" s="1" a="1"/>
  <c r="D10" i="3" s="1"/>
  <c r="B1" i="3"/>
  <c r="C1" i="3" s="1"/>
  <c r="D1" i="3" s="1" a="1"/>
  <c r="D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<sst xmlns="http://schemas.openxmlformats.org/spreadsheetml/2006/main" count="2785" uniqueCount="1530">
  <si>
    <t>UV</t>
  </si>
  <si>
    <t>Numéro Question</t>
  </si>
  <si>
    <t>Intitulé de la Question</t>
  </si>
  <si>
    <t>Proposition A</t>
  </si>
  <si>
    <t>Proposition B</t>
  </si>
  <si>
    <t>Proposition C</t>
  </si>
  <si>
    <t>Proposition D</t>
  </si>
  <si>
    <t>Proposition E</t>
  </si>
  <si>
    <t>Proposition F</t>
  </si>
  <si>
    <t>Bonne Réponse</t>
  </si>
  <si>
    <t>UV2</t>
  </si>
  <si>
    <t>1</t>
  </si>
  <si>
    <t>D</t>
  </si>
  <si>
    <t>2</t>
  </si>
  <si>
    <t>A</t>
  </si>
  <si>
    <t>3</t>
  </si>
  <si>
    <t>4</t>
  </si>
  <si>
    <t>5</t>
  </si>
  <si>
    <t>C</t>
  </si>
  <si>
    <t>6</t>
  </si>
  <si>
    <t>7</t>
  </si>
  <si>
    <t>B</t>
  </si>
  <si>
    <t>8</t>
  </si>
  <si>
    <t>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</si>
  <si>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</si>
  <si>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</si>
  <si>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</si>
  <si>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</si>
  <si>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</si>
  <si>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</si>
  <si>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</si>
  <si>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</si>
  <si>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</si>
  <si>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</si>
  <si>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</si>
  <si>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</si>
  <si>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</si>
  <si>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</si>
  <si>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</si>
  <si>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</si>
  <si>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</si>
  <si>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</si>
  <si>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</si>
  <si>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</si>
  <si>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</si>
  <si>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</si>
  <si>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</si>
  <si>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Laquelle de ces propositions constitue une infraction ?</t>
  </si>
  <si>
    <t>32</t>
  </si>
  <si>
    <t>Je suis en situation de pouvoir agir immédiatement contre une atteinte à l’intégrité physique d’une personne :</t>
  </si>
  <si>
    <t>33</t>
  </si>
  <si>
    <t>Les agents de sécurité employés par un bailleur d’immeuble à usage d’habitation peuvent être armés :</t>
  </si>
  <si>
    <t>34</t>
  </si>
  <si>
    <t>Quelles sont les conditions relatives à la défense devant être réunies pour pouvoir invoquer la légitime défense ?</t>
  </si>
  <si>
    <t>35</t>
  </si>
  <si>
    <t>La langue française…</t>
  </si>
  <si>
    <t>36</t>
  </si>
  <si>
    <t>Qu’appelle-t-on le Palais Bourbon ?</t>
  </si>
  <si>
    <t>37</t>
  </si>
  <si>
    <t>Il est interdit aux personnes exerçant une activité de sécurité privée :</t>
  </si>
  <si>
    <t>Si vous réussissez l’examen final du TFP APS, vous pourrez demander la carte professionnelle d’ :</t>
  </si>
  <si>
    <t>La liberté d’aller et venir s’inscrit dans le respect :</t>
  </si>
  <si>
    <t>Un agent de sécurité exerçant ses fonctions dans une grande surface peut-il appréhender un individu qui y entre avec une matraque et tente d’agresser une caissière ?</t>
  </si>
  <si>
    <t>Les acteurs de la sécurité privée doivent respecter la confidentialité des informations dont ils ont eu connaissance dans le cadre de leur activité :</t>
  </si>
  <si>
    <t>Le directeur de l’établissement où je suis en poste me demande de prendre un colis à l’accueil pour le déposer dans un service interne pendant ma ronde :</t>
  </si>
  <si>
    <t>Que risque un employeur qui a conclu un contrat de travail avec un agent de sécurité, non titulaire de la carte professionnelle ?</t>
  </si>
  <si>
    <t>Au titre de quel article de loi un agent de prévention et de sécurité peut-il appréhender un individu ?</t>
  </si>
  <si>
    <t>Un APS autorisé au port d’armes peut-il détenir l’arme de service à son domicile ?</t>
  </si>
  <si>
    <t>La formation pour le renouvellement de la carte professionnelle (Maintien et Actualisation des Connaissances) est à la charge :</t>
  </si>
  <si>
    <t>Quel est le casier judiciaire que consulte le CNAPS pour délivrer l’Autorisation Préalable ou la Carte Professionnelle ?</t>
  </si>
  <si>
    <t>Ai-je le droit d’appliquer la légitime défense ?</t>
  </si>
  <si>
    <t>En vertu de l’article R613-8 du code de la sécurité intérieure, l’agent de sécurité peut réaliser des palpations s’il :</t>
  </si>
  <si>
    <t>Que contient le casier judiciaire B3 ?</t>
  </si>
  <si>
    <t>Une arme d’épaule à répétition automatique relevant du matériel de guerre est une arme de catégorie :</t>
  </si>
  <si>
    <t>Je suis agent de prévention et de sécurité, intervenant sous-traitance, pour une autre entreprise de sécurité, quelle tenue dois-je porter ?</t>
  </si>
  <si>
    <t>La carte professionnelle peut-être retirée si le titulaire :</t>
  </si>
  <si>
    <t>Un agent de Prévention et de Sécurité d’un service interne doit :</t>
  </si>
  <si>
    <t>Le port et transport d’armes sans agrément spécifique, de type générateurs aérosols (de catégorie D) et arme à impulsion électrique de contact :</t>
  </si>
  <si>
    <t>Conformément au code de la sécurité intérieure, quel est le régime administratif d’acquisition et de détention d’une arme de catégorie D ?</t>
  </si>
  <si>
    <t>En poste dans un magasin, le directeur me demande de surveiller une caissière qu’il soupçonne de ne pas respecter ses horaires de pause :</t>
  </si>
  <si>
    <t>Un agent de prévention et de sécurité peut-il, au regard du Livre VI du Code de la Sécurité Intérieure :</t>
  </si>
  <si>
    <t>Quelle situation est considérée comme un cas d’aggravation de l’infraction de vol ? Le fait de commettre un vol :</t>
  </si>
  <si>
    <t>Dans le cadre de son activité, l’agent privé de sécurité porte :</t>
  </si>
  <si>
    <t>Qu’est-ce qui constitue un cas de présomption en légitime défense ?</t>
  </si>
  <si>
    <t>La demande de renouvellement de la carte professionnelle (conformément au CSI) doit être présentée :</t>
  </si>
  <si>
    <t>Quelles sont les caractéristiques du casier judiciaire ?</t>
  </si>
  <si>
    <t>Agent Rondier Intervenant, je viens d’apprendre par lettre recommandée que j’ai perdu mon permis de conduire :</t>
  </si>
  <si>
    <t>Qu’est-ce qu’une arme de catégorie A1 ?</t>
  </si>
  <si>
    <t>Constitue une rébellion le fait d’opposer une résistance violente :</t>
  </si>
  <si>
    <t>La formation continue pour le renouvellement de la carte professionnelle s’appelle :</t>
  </si>
  <si>
    <t>Aucune des autres réponses</t>
  </si>
  <si>
    <t>Toutes les réponses sont exactes</t>
  </si>
  <si>
    <t>Est obligatoire sur les documents officiels</t>
  </si>
  <si>
    <t>Le Sénat</t>
  </si>
  <si>
    <t>Le fait de ne pas remplir correctement la main courante</t>
  </si>
  <si>
    <t>J’agis même s’il y a risque pour moi, c’est mon devoir d’APS</t>
  </si>
  <si>
    <t>D’un bâton de défense de type TONFA</t>
  </si>
  <si>
    <t>Actuelle, dirigée contre l’agresseur, imminente</t>
  </si>
  <si>
    <t>A toujours existé</t>
  </si>
  <si>
    <t>Le Conseil Constitutionnel</t>
  </si>
  <si>
    <t>D’un pistolet</t>
  </si>
  <si>
    <t>J’agis s’il n’y a pas de risque pour moi ou pour autrui</t>
  </si>
  <si>
    <t>Le fait de ne pas agir contre une personne qui menace avec une arme</t>
  </si>
  <si>
    <t>Le fait de ne pas porter secours à une personne blessée dans l’établissement surveillé</t>
  </si>
  <si>
    <t>Le fait d’arriver en léger retard à sa prise de poste sans avoir prévenu</t>
  </si>
  <si>
    <t>Je n’agis pas. Dans tous les cas, ce sont aux forces de l’ordre d’intervenir</t>
  </si>
  <si>
    <t>Je n’agis jamais sauf si je suis autorisé à porter une arme</t>
  </si>
  <si>
    <t>D’un revolver</t>
  </si>
  <si>
    <t>D’une grenade lacrymogène inférieure à 100 ml</t>
  </si>
  <si>
    <t>Instinctive, sans violence, après sommations</t>
  </si>
  <si>
    <t>Nécessaire, dans le même temps, proportionnée à la gravité de l’atteinte</t>
  </si>
  <si>
    <t>Indispensable, proportionnée à l’attitude de l’agresseur, différée en cas d’hésitation</t>
  </si>
  <si>
    <t>A été créée par l’Académie française</t>
  </si>
  <si>
    <t>Ne peut être parlée que par des Françaises et Français</t>
  </si>
  <si>
    <t>N’est pas la seule langue officielle de la République</t>
  </si>
  <si>
    <t>De se livrer à une surveillance dans un stade</t>
  </si>
  <si>
    <t>De se livrer à une surveillance dans des lieux recevant du public</t>
  </si>
  <si>
    <t>De se livrer à une surveillance contre le vol à l’étalage</t>
  </si>
  <si>
    <t>De s’immiscer dans le déroulement d’un conflit du travail</t>
  </si>
  <si>
    <t/>
  </si>
  <si>
    <t>Agent de gardiennage ou de surveillance humaine pouvant inclure l’utilisation de moyens électroniques</t>
  </si>
  <si>
    <t>Agent de Protection et de Sécurité</t>
  </si>
  <si>
    <t>Agent Privé de Sécurité</t>
  </si>
  <si>
    <t>Agent Private de Sécurity</t>
  </si>
  <si>
    <t>Du Code de la sécurité intérieure</t>
  </si>
  <si>
    <t>Du Code de procédure pénale</t>
  </si>
  <si>
    <t>De la Déclaration des droits de l’homme et du citoyen de 1789</t>
  </si>
  <si>
    <t>De la Déclaration universelle des droits de l’homme de 1948 et son article 13</t>
  </si>
  <si>
    <t xml:space="preserve">De la Convention européenne des droits de l’homme de 1950 </t>
  </si>
  <si>
    <t>Oui, car il est dans le cadre de l’état de nécessité, prévu par l’article 122-7 du Code pénal</t>
  </si>
  <si>
    <t>Il peut juste l’aborder mais ne peut pas l’appréhender en vertu de l’art.73 du CPP</t>
  </si>
  <si>
    <t>Il peut seulement consigner sa matraque ou son poignard</t>
  </si>
  <si>
    <t>Non, car il n’y a pas d’infraction prévue pour ce type de faut</t>
  </si>
  <si>
    <t>Dans tous les cas</t>
  </si>
  <si>
    <t>Dans le respect d’un délai de 5 ans</t>
  </si>
  <si>
    <t>Sous réserve des cas prévus ou autorisés par la loi (ex : procédure judiciaire)</t>
  </si>
  <si>
    <t>Sauf en cas d’accord préalable de leur ancien chef de poste</t>
  </si>
  <si>
    <t>Je le fais puisque le principe d’exclusivité ne s’applique qu’à mon entreprise</t>
  </si>
  <si>
    <t>Je le fais, puisque cela ne me détourne pas de mon circuit de ronde</t>
  </si>
  <si>
    <t>Je ne le fais pas car je n’ai pas de chariot adapté à la mission</t>
  </si>
  <si>
    <t>Je ne le fais pas car le principe d’exclusivité prévu dans le CSI m’interdit de le faire</t>
  </si>
  <si>
    <t>L’employeur ne risque rien</t>
  </si>
  <si>
    <t>Une amende d’environ 30 000 euros d’amende</t>
  </si>
  <si>
    <t>Une amende d’environ 15 000 euros d’amende</t>
  </si>
  <si>
    <t>Une amende d’environ 20 000 euros d’amende</t>
  </si>
  <si>
    <t>Article R 661-1 du Code pénal</t>
  </si>
  <si>
    <t>Article 53 du code de procédure pénale</t>
  </si>
  <si>
    <t>Article 223-1 du code pénal</t>
  </si>
  <si>
    <t>Article 122-5 du code pénal</t>
  </si>
  <si>
    <t>Non, en aucun cas</t>
  </si>
  <si>
    <t>Oui, s’il est titulaire d’une autorisation de port d’armes</t>
  </si>
  <si>
    <t xml:space="preserve">Oui, à condition de l’enfermer dans un coffre-fort </t>
  </si>
  <si>
    <t>Oui, avec l’autorisation de son employeur</t>
  </si>
  <si>
    <t xml:space="preserve">De l’entreprise du site sur lequel je suis en poste </t>
  </si>
  <si>
    <t>Des centres de formation accrédités</t>
  </si>
  <si>
    <t>De mon employeur, conformément à l’accord de branche</t>
  </si>
  <si>
    <t>Du CNAPS via le Fonds de Modernisation Sociale</t>
  </si>
  <si>
    <t>Bulletin N°1</t>
  </si>
  <si>
    <t>Bulletin N°2</t>
  </si>
  <si>
    <t>Bulletin N°3</t>
  </si>
  <si>
    <t>Bulletin N°4</t>
  </si>
  <si>
    <t>Non, seules les forces de l’ordre peuvent l’appliquer</t>
  </si>
  <si>
    <t>Non, sauf en tant qu’APS durant mes vacations</t>
  </si>
  <si>
    <t>Oui, seulement en cas d’attaque injustifiée, réelle et actuelle</t>
  </si>
  <si>
    <t>Oui, en tant qu’APS durant mes vacations</t>
  </si>
  <si>
    <t>Est, entre autres conditions, titulaire d’une carte professionnelle en cours de validité</t>
  </si>
  <si>
    <t>Justifie de deux années d’exercice professionnel</t>
  </si>
  <si>
    <t>Justifie de trois années d’exercice professionnel</t>
  </si>
  <si>
    <t>Justifie de cinq années d’exercice professionnel</t>
  </si>
  <si>
    <t>Rien de particulier</t>
  </si>
  <si>
    <t>Le bulletin n°3 comporte toutes les décisions de justice (peines de prison, amende…)</t>
  </si>
  <si>
    <t>Le bulletin n°3 comporte les condamnations correctionnelles et criminelles</t>
  </si>
  <si>
    <t>Le bulletin n°3 comporte uniquement les condamnations les plus graves</t>
  </si>
  <si>
    <t>La tenue de l’entreprise qui détient le contrat</t>
  </si>
  <si>
    <t>La tenue de mon entreprise</t>
  </si>
  <si>
    <t>Je dois porter ma tenue mais avec les insignes et les logos de l’entreprise qui détient le contrat</t>
  </si>
  <si>
    <t>Peu importe la tenue, seule la carte professionnelle compte</t>
  </si>
  <si>
    <t>Déménage dans une autre région</t>
  </si>
  <si>
    <t>Fait l’objet d’une inscription sur le bulletin n°2 de son casier judiciaire</t>
  </si>
  <si>
    <t>Change de site d’affectation</t>
  </si>
  <si>
    <t>Change d’employeur</t>
  </si>
  <si>
    <t>Se soumettre à l’application du Livre VI</t>
  </si>
  <si>
    <t>Se soumettre au code de déontologie</t>
  </si>
  <si>
    <t>Porter une tenue réglementaire</t>
  </si>
  <si>
    <t>Disposer d’une carte professionnelle délivrée par la CLAC</t>
  </si>
  <si>
    <t>Est autorisé</t>
  </si>
  <si>
    <t>Est interdit par la loi sauf en cas de légitime défense</t>
  </si>
  <si>
    <t>Constitue une infraction qualifiée de délit, passible d’une peine d’emprisonnement et de 15 000 euros d’amende</t>
  </si>
  <si>
    <t>Constitue une contravention passible d’une peine d’emprisonnement</t>
  </si>
  <si>
    <t>Armes interdites à l’acquisition et à la détention</t>
  </si>
  <si>
    <t>Armes soumises à autorisation pour l’acquisition et la détention</t>
  </si>
  <si>
    <t>Armes soumises à déclaration pour l’acquisition et la détention</t>
  </si>
  <si>
    <t>Armes et matériels dont l’acquisition et la détention sont libres</t>
  </si>
  <si>
    <t>Je refuse de le faire car c’est un délégué du personnel du client</t>
  </si>
  <si>
    <t>Je refuse car il est interdit de m’immiscer dans le déroulement d’un événement se rapportant à un possible conflit de travail</t>
  </si>
  <si>
    <t>Je le fais mais exige de disposer de la vidéo pour disposer des preuves</t>
  </si>
  <si>
    <t>Je le fais mais je prends bien soin de l’indiquer sur la main courante</t>
  </si>
  <si>
    <t>Effectuer des prestations de propreté et de nettoyage</t>
  </si>
  <si>
    <t>Vérifier visuellement le bon fonctionnement des machines-outils du site ?</t>
  </si>
  <si>
    <t>Tenir le standard téléphonique du client à plein temps ?</t>
  </si>
  <si>
    <t>Poster un pli urgent à la poste sur demande du client ?</t>
  </si>
  <si>
    <t>Dans un magasin après avoir rendu inopérantes les caméras de surveillance</t>
  </si>
  <si>
    <t>Dans un magasin après s’être laissé enfermer volontairement à la fermeture des portes</t>
  </si>
  <si>
    <t>En prenant indûment la qualité d’une personne dépositaire de l’autorité publique</t>
  </si>
  <si>
    <t>En s’enfuyant après le larcin</t>
  </si>
  <si>
    <t>Un uniforme avec au minimum 2 insignes distinctifs placés de façon à être toujours visibles</t>
  </si>
  <si>
    <t>Un uniforme avec au maximum 2 insignes distinctifs placés de façon à être visibles</t>
  </si>
  <si>
    <t>Une tenue particulière qui doit toujours être conforme aux exigences des services d’incendie</t>
  </si>
  <si>
    <t>Une tenue particulière qui ne doit entraîner aucune confusion avec la tenue des agents des services publics</t>
  </si>
  <si>
    <t>Se défendre en cas de dispute</t>
  </si>
  <si>
    <t>Se défendre en cas de vol exécuté avec violence</t>
  </si>
  <si>
    <t>Se défendre en cas d’agression verbale</t>
  </si>
  <si>
    <t>Se défendre en cas d’agression mentale</t>
  </si>
  <si>
    <t>Au moins 1 mois avant sa date d’expiration</t>
  </si>
  <si>
    <t>Au moins 3 mois avant sa date d’expiration</t>
  </si>
  <si>
    <t>Au moins 4 mois avant sa date d’expiration</t>
  </si>
  <si>
    <t>6 mois obligatoires avant sa date d’expiration</t>
  </si>
  <si>
    <t>Le casier judiciaire contient les condamnations civiles d’une même personne. Il existe 4 types de bulletins</t>
  </si>
  <si>
    <t xml:space="preserve">Le casier judiciaire contient les condamnations pénales d’une même personne. </t>
  </si>
  <si>
    <t>Le casier judiciaire contient les condamnations pénales et civiles d’une même personne.</t>
  </si>
  <si>
    <t>Le casier judiciaire contient les condamnations pénales d’une même personne. Il existe 2 types de bulletins</t>
  </si>
  <si>
    <t>Je dois prévenir mon employeur pour mettre en place une solution transitoire</t>
  </si>
  <si>
    <t>Je m’inscris à un stage de récupération de points et continue à tenir mon poste de rondier intervenant</t>
  </si>
  <si>
    <t>Etant en fonction d’agent de sécurité, je reste habilité à conduire uniquement pour mon activité de sécurité privée</t>
  </si>
  <si>
    <t>Je demande à un ami disposant du permis de me conduire sur les lieux d’intervention</t>
  </si>
  <si>
    <t>Arme interdite à l’acquisition et à la détention</t>
  </si>
  <si>
    <t>Arme soumise à autorisation</t>
  </si>
  <si>
    <t>Arme soumise à déclaration</t>
  </si>
  <si>
    <t>Arme soumise à enregistrement</t>
  </si>
  <si>
    <t>Lors d’une agression contre sa personne</t>
  </si>
  <si>
    <t>Dans le cas de légitime défense des biens</t>
  </si>
  <si>
    <t>Pour repousser de nuit l’entrée dans un lieu habité</t>
  </si>
  <si>
    <t>A un représentant des forces de l’ordre agissant dans l’exercice de ses fonctions</t>
  </si>
  <si>
    <t>L’Assemblée nationale</t>
  </si>
  <si>
    <t>Le Conseil d’État</t>
  </si>
  <si>
    <t>La résidence du Premier ministre</t>
  </si>
  <si>
    <t>MAC (Maintien et Actualisation des Connaissances)</t>
  </si>
  <si>
    <t>CNAPS (Conseil National des Activités Privées de Sécurité)</t>
  </si>
  <si>
    <t>CNAVS (Conseil National des Activités de Sécurité)</t>
  </si>
  <si>
    <t>CNAPS via le Fonds de Modernisation Sociale</t>
  </si>
  <si>
    <t>Description</t>
  </si>
  <si>
    <t>UV1</t>
  </si>
  <si>
    <t>Module secourisme</t>
  </si>
  <si>
    <t>Module environnement juridique</t>
  </si>
  <si>
    <t>UV3</t>
  </si>
  <si>
    <t>Module gestion des conflits</t>
  </si>
  <si>
    <t>UV4</t>
  </si>
  <si>
    <t>Module stratégique</t>
  </si>
  <si>
    <t>Module prévention des risques d’incendie</t>
  </si>
  <si>
    <t>UV6</t>
  </si>
  <si>
    <t>Module d’appréhension au cours de l’exercice du métier</t>
  </si>
  <si>
    <t>UV7</t>
  </si>
  <si>
    <t>Module sensibilisation aux risques terroristes, réagir face à une attaque, secourir</t>
  </si>
  <si>
    <t>UV8</t>
  </si>
  <si>
    <t>Module professionnel</t>
  </si>
  <si>
    <t>UV9</t>
  </si>
  <si>
    <t>Module palpation de sécurité et inspection des bagages</t>
  </si>
  <si>
    <t>UV10</t>
  </si>
  <si>
    <t>Module surveillance par moyens électroniques de sécurité</t>
  </si>
  <si>
    <t>UV11</t>
  </si>
  <si>
    <t>Module gestion des risques</t>
  </si>
  <si>
    <t>UV12</t>
  </si>
  <si>
    <t>Module événementiel spécifique</t>
  </si>
  <si>
    <t>UV13</t>
  </si>
  <si>
    <t>Module gestion des situations conflictuelles</t>
  </si>
  <si>
    <t>UV14</t>
  </si>
  <si>
    <t>Module industriel spécifique</t>
  </si>
  <si>
    <t>UV15</t>
  </si>
  <si>
    <t>Mise en situation pratique sur un contexte professionnel tiré au sort par le candidat</t>
  </si>
  <si>
    <t>1 - Quels sont les 4 comportements pouvant être adoptés théoriquement lors d’un conflit ?|Fuite - Assertivité - Contrainte - Manipulation|Assertivité - Arrogance - Manipulation - Agressivité|Agressivité - Assertivité - Fuite - Manipulation|Agressivité - Fuite - Manipulation - Monologue|Aucune des autres réponses</t>
  </si>
  <si>
    <t>2 - Quelles sont les précautions à prendre lorsqu’on aborde une personne susceptible de générer un conflit ?|Rester à une dizaine de mètres pour ne pas s’exposer|Garder une distance raisonnable de sécurité|Se munir d’un moyen de défense|S’approcher au plus près pour rassurer la personne|Aucune des autres réponses</t>
  </si>
  <si>
    <t>3 - Quelles sont les méthodes de réaction aux attaques verbales, menaces et intimidation ?|Répondre sur le même ton - faire du Karaté|Ignorer la personne - Continuer de faire son travail|Répondre sur le même ton - Appeler la police|Garder son calme - Pratiquer le judo verbal pour retourner la situation|Aucune des autres réponses</t>
  </si>
  <si>
    <t>4 - Quel type de personne peut être plus générateur de conflit ?|Une personne insatisfaite|Une personne timide|Une personne bavarde|Une personne ne parlant pas le français|Aucune des autres réponses</t>
  </si>
  <si>
    <t>5 - A l’entrée d’un centre commercial, un client vient se plaindre auprès de vous d’un article acheté, qu’il juge défectueux. Que faites-vous ?|Vous lui proposez de faire l’échange vous-même|Vous prenez le temps d’écouter et le dirigez vers le service après-vente|Vous refusez de le renseigner|Vous lui proposez vos services, après votre vacation, car vous connaissez bien les défauts de cet article|Aucune des autres réponses</t>
  </si>
  <si>
    <t>6 - Je viens de fermer la porte d’entrée au supermarché avant sa fermeture totale. Un client veut rentrer malgré tout et frappe violemment sur la porte vitrée. Que faites-vous ?|Je lui explique que le magasin et les caisses sont fermés|J’ouvre les portes et le laisse rentrer exceptionnellement|Je lui ordonne de quitter les lieux immédiatement et le menace d’appeler les forces de l’ordre|Je l’ignore et continue ma ronde de fermeture|Aucune des autres réponses</t>
  </si>
  <si>
    <t>7 - Lorsque l’agent observe des personnes en conflit dans son périmètre d’action, il doit ?|Uniquement observer ce qui se passe|Partir le plus vite possible|Se poser en médiateur|Prendre position avant de connaître l’origine du conflit|Aucune des autres réponses</t>
  </si>
  <si>
    <t>8 - Dans la communication non verbale, que peut signifier le fait de pointer quelqu’un du doigt ?|Une attitude menaçante ou arrogante|Une attitude de séduction|Une attitude apaisante|Une attitude conciliante|Aucune des autres réponses</t>
  </si>
  <si>
    <t>9 - Durant sa ronde un agent découvre une personne qui fume dans le local des archives, comment procède-t-il pour intervenir sans générer de conflit ?|Lui confisquer ses cigarettes|Retourner au PCS pour renseigner l’incident sur la main courante|Laisser la personne terminer sa cigarette et lui demander de ne pas recommencer|Se présenter, et rappeler la réglementation au contrevenant|Aucune des autres réponses</t>
  </si>
  <si>
    <t>10 - Que doit faire le chef de poste lorsque vous êtes en conflit avec l’un de vos collègues APS ?|Attendre la dégradation de la situation pour offrir son aide|Contacter immédiatement la hiérarchie et demander des sanctions|Ne pas intervenir pour laisser la dispute s’estomper|Réunir les agents concernés pour résoudre le problème|Aucune des autres réponses</t>
  </si>
  <si>
    <t>Quels sont les 4 comportements pouvant être adoptés théoriquement lors d’un conflit ?</t>
  </si>
  <si>
    <t>Fuite - Assertivité - Contrainte - Manipulation</t>
  </si>
  <si>
    <t>Assertivité - Arrogance - Manipulation - Agressivité</t>
  </si>
  <si>
    <t>Agressivité - Assertivité - Fuite - Manipulation</t>
  </si>
  <si>
    <t>Agressivité - Fuite - Manipulation - Monologue</t>
  </si>
  <si>
    <t>Quelles sont les précautions à prendre lorsqu’on aborde une personne susceptible de générer un conflit ?</t>
  </si>
  <si>
    <t>Rester à une dizaine de mètres pour ne pas s’exposer</t>
  </si>
  <si>
    <t>Garder une distance raisonnable de sécurité</t>
  </si>
  <si>
    <t>Se munir d’un moyen de défense</t>
  </si>
  <si>
    <t>S’approcher au plus près pour rassurer la personne</t>
  </si>
  <si>
    <t>Quelles sont les méthodes de réaction aux attaques verbales, menaces et intimidation ?</t>
  </si>
  <si>
    <t>Répondre sur le même ton - faire du Karaté</t>
  </si>
  <si>
    <t>Ignorer la personne - Continuer de faire son travail</t>
  </si>
  <si>
    <t>Répondre sur le même ton - Appeler la police</t>
  </si>
  <si>
    <t>Garder son calme - Pratiquer le judo verbal pour retourner la situation</t>
  </si>
  <si>
    <t>Quel type de personne peut être plus générateur de conflit ?</t>
  </si>
  <si>
    <t>Une personne insatisfaite</t>
  </si>
  <si>
    <t>Une personne timide</t>
  </si>
  <si>
    <t>Une personne bavarde</t>
  </si>
  <si>
    <t>Une personne ne parlant pas le français</t>
  </si>
  <si>
    <t>A l’entrée d’un centre commercial, un client vient se plaindre auprès de vous d’un article acheté, qu’il juge défectueux. Que faites-vous ?</t>
  </si>
  <si>
    <t>Vous lui proposez de faire l’échange vous-même</t>
  </si>
  <si>
    <t>Vous prenez le temps d’écouter et le dirigez vers le service après-vente</t>
  </si>
  <si>
    <t>Vous refusez de le renseigner</t>
  </si>
  <si>
    <t>Vous lui proposez vos services, après votre vacation, car vous connaissez bien les défauts de cet article</t>
  </si>
  <si>
    <t>Je viens de fermer la porte d’entrée au supermarché avant sa fermeture totale. Un client veut rentrer malgré tout et frappe violemment sur la porte vitrée. Que faites-vous ?</t>
  </si>
  <si>
    <t>Je lui explique que le magasin et les caisses sont fermés</t>
  </si>
  <si>
    <t>J’ouvre les portes et le laisse rentrer exceptionnellement</t>
  </si>
  <si>
    <t>Je lui ordonne de quitter les lieux immédiatement et le menace d’appeler les forces de l’ordre</t>
  </si>
  <si>
    <t>Je l’ignore et continue ma ronde de fermeture</t>
  </si>
  <si>
    <t>Lorsque l’agent observe des personnes en conflit dans son périmètre d’action, il doit ?</t>
  </si>
  <si>
    <t>Uniquement observer ce qui se passe</t>
  </si>
  <si>
    <t>Partir le plus vite possible</t>
  </si>
  <si>
    <t>Se poser en médiateur</t>
  </si>
  <si>
    <t>Prendre position avant de connaître l’origine du conflit</t>
  </si>
  <si>
    <t>Dans la communication non verbale, que peut signifier le fait de pointer quelqu’un du doigt ?</t>
  </si>
  <si>
    <t>Une attitude menaçante ou arrogante</t>
  </si>
  <si>
    <t>Une attitude de séduction</t>
  </si>
  <si>
    <t>Une attitude apaisante</t>
  </si>
  <si>
    <t>Une attitude conciliante</t>
  </si>
  <si>
    <t>Durant sa ronde un agent découvre une personne qui fume dans le local des archives, comment procède-t-il pour intervenir sans générer de conflit ?</t>
  </si>
  <si>
    <t>Lui confisquer ses cigarettes</t>
  </si>
  <si>
    <t>Retourner au PCS pour renseigner l’incident sur la main courante</t>
  </si>
  <si>
    <t>Laisser la personne terminer sa cigarette et lui demander de ne pas recommencer</t>
  </si>
  <si>
    <t>Se présenter, et rappeler la réglementation au contrevenant</t>
  </si>
  <si>
    <t>Que doit faire le chef de poste lorsque vous êtes en conflit avec l’un de vos collègues APS ?</t>
  </si>
  <si>
    <t>Attendre la dégradation de la situation pour offrir son aide</t>
  </si>
  <si>
    <t>Contacter immédiatement la hiérarchie et demander des sanctions</t>
  </si>
  <si>
    <t>Ne pas intervenir pour laisser la dispute s’estomper</t>
  </si>
  <si>
    <t>Réunir les agents concernés pour résoudre le problème</t>
  </si>
  <si>
    <r>
      <t xml:space="preserve">1 - </t>
    </r>
    <r>
      <rPr>
        <sz val="11"/>
        <color theme="1"/>
        <rFont val="Arial"/>
        <family val="2"/>
      </rPr>
      <t>Une consigne qui vous explique la procédure pour pénétrer dans un local où des matières toxiques sont entreposées en permanence est :|Une consigne générale|Une consigne particulière|Une consigne ponctuelle|Une consigne spéciale</t>
    </r>
  </si>
  <si>
    <t>E - Aucune des autres réponses</t>
  </si>
  <si>
    <t>2 - Une consigne Client, qui vous prévient que demain un VIP viendra visiter l’établissement est :|Une consigne générale|Une consigne permanente|Une consigne ponctuelle|Un consigne spéciale|Aucune des autres réponses</t>
  </si>
  <si>
    <t>3 - La consigne affichée à proximité des sorties concernant l’évacuation est :|Une consigne permanente|Une consigne particulière|Une consigne ponctuelle|Un consigne spéciale|Aucune des autres réponses</t>
  </si>
  <si>
    <t>4 - Quelle est la meilleure façon d’écrire une date sur la main courante papier ?|Le 17-10-30|Le 30/10/17|Le 30/10/2017|L’an 2017-10-30|Lundi 30 octobre 2017</t>
  </si>
  <si>
    <t>5 - Le compte rendu oral ou écrit est un moyen de communication :|Simple et direct avec sa hiérarchie|Qui reste interne à votre entreprise sans conséquence pénale|Il est effectué uniquement à l’aide d’un émetteur/récepteur|Il évite dans tous les cas de rédiger un rapport complet qui serait trop contraignant|Aucune des autres réponses</t>
  </si>
  <si>
    <t>6 - De quelle couleur est-il préférable d’écrire les interventions liées à l’incendie sur une main courante ?|En noir|En bleu|En rouge|En vert|Aucune des autres réponses</t>
  </si>
  <si>
    <t>7 - Une main courante doit-elle être ?|Chronologique|Datée|Factuelle|Informatisée ou manuscrite|Toutes les réponses précédentes sont exactes</t>
  </si>
  <si>
    <t>8 - La mise en place et l’utilisation d’une main courante est-elle soumise à une réglementation ?|Oui, c’est la loi du 12 juillet 1983 qui l’impose|Oui, c’est le CSI qui l’impose|Oui, c’est la convention collective qui l’impose|Non, mais elle permet de se protéger en cas de saisie par les autorités|Aucune des autres réponses</t>
  </si>
  <si>
    <t>9 - Les consignes spéciales de votre société de sécurité doivent-elles avoir un numéro séquentiel de version ?|Oui, pour pouvoir les ranger dans les archives|Oui, pour savoir si c’est la bonne version en vigueur|Non, puisqu’elles sont permanentes|Non, cela ne sert à rien|Aucune des autres réponses</t>
  </si>
  <si>
    <t>10 - Une main courante informatisée peut-elle être consultable à distance ?|Non, pour éviter tout piratage|Non, les informations doivent rester sur le site|Oui, le responsable pourra voir au fur et à mesure les événements|Oui, lorsque l’on veut la modifier en fin de journée|Aucune des autres réponses</t>
  </si>
  <si>
    <t>11 - Vous disposez d’une main courante informatisée, devez-vous quand même disposer d’une main courante papier ?|Oui, et on doit remplir les deux|Oui, dans l’éventualité où la main courante informatisée soit hors service|Non, puisqu’on peut tout imprimer plus tard|Non, cela ne sert à rien|Aucune des autres réponses</t>
  </si>
  <si>
    <t>12 - Une main courante a comme objectif :|De noter uniquement les interventions de la vacation|De noter uniquement les problèmes techniques|De transmettre uniquement des consignes|De relater tous les événements liés à la sécurité lors de la vacation|Aucune des autres réponses</t>
  </si>
  <si>
    <t>13 - Le compte rendu écrit est un moyen :|Qui constitue une preuve irréfutable|De signaler un fait circonstancié urgent et important|De noter sur un document brouillon avant de le rédiger au propre|De contrôle du travail effectué par les agents|Aucune des autres réponses</t>
  </si>
  <si>
    <t>14 - Concernant les rondes, que doit-on notifier sur la main courante ?|Le nom de l’agent effectuant la ronde|L’heure de retour de ronde|Les anomalies constatées|Les mesures prises en cas d’anomalie|Toutes les réponses sont bonnes</t>
  </si>
  <si>
    <t>15 - Un rapport circonstancié doit :|Indiquer l’ensemble des informations de l’incident|Uniquement indiquer les conséquences de l’incident|Uniquement indiquer les circonstances de l’incident|Proposer les solutions afin d’éviter que l’incident ne se reproduise|Aucune des autres réponses</t>
  </si>
  <si>
    <r>
      <t>16 - De quelle couleur est-il préférable d’écrire les événements quotidiens sur une main courante ?|</t>
    </r>
    <r>
      <rPr>
        <sz val="11.5"/>
        <color theme="1"/>
        <rFont val="Arial"/>
        <family val="2"/>
      </rPr>
      <t>En noir|En jaune|En rouge|En vert|Aucune des autres réponses</t>
    </r>
  </si>
  <si>
    <t>Une consigne qui vous explique la procédure pour pénétrer dans un local où des matières toxiques sont entreposées en permanence est :</t>
  </si>
  <si>
    <t>Une consigne générale</t>
  </si>
  <si>
    <t>Une consigne particulière</t>
  </si>
  <si>
    <t>Une consigne ponctuelle</t>
  </si>
  <si>
    <t>Une consigne spéciale</t>
  </si>
  <si>
    <t>Une consigne Client, qui vous prévient que demain un VIP viendra visiter l’établissement est :</t>
  </si>
  <si>
    <t>Une consigne permanente</t>
  </si>
  <si>
    <t>Un consigne spéciale</t>
  </si>
  <si>
    <t>La consigne affichée à proximité des sorties concernant l’évacuation est :</t>
  </si>
  <si>
    <t>Quelle est la meilleure façon d’écrire une date sur la main courante papier ?</t>
  </si>
  <si>
    <t>Le 17-10-30</t>
  </si>
  <si>
    <t>Le 30/10/17</t>
  </si>
  <si>
    <t>Le 30/10/2017</t>
  </si>
  <si>
    <t>L’an 2017-10-30</t>
  </si>
  <si>
    <t>Lundi 30 octobre 2017</t>
  </si>
  <si>
    <t>Le compte rendu oral ou écrit est un moyen de communication :</t>
  </si>
  <si>
    <t>Simple et direct avec sa hiérarchie</t>
  </si>
  <si>
    <t>Qui reste interne à votre entreprise sans conséquence pénale</t>
  </si>
  <si>
    <t>Il est effectué uniquement à l’aide d’un émetteur/récepteur</t>
  </si>
  <si>
    <t>Il évite dans tous les cas de rédiger un rapport complet qui serait trop contraignant</t>
  </si>
  <si>
    <t>De quelle couleur est-il préférable d’écrire les interventions liées à l’incendie sur une main courante ?</t>
  </si>
  <si>
    <t>En noir</t>
  </si>
  <si>
    <t>En bleu</t>
  </si>
  <si>
    <t>En rouge</t>
  </si>
  <si>
    <t>En vert</t>
  </si>
  <si>
    <t>Une main courante doit-elle être ?</t>
  </si>
  <si>
    <t>Chronologique</t>
  </si>
  <si>
    <t>Datée</t>
  </si>
  <si>
    <t>Factuelle</t>
  </si>
  <si>
    <t>Informatisée ou manuscrite</t>
  </si>
  <si>
    <t>Toutes les réponses précédentes sont exactes</t>
  </si>
  <si>
    <t>La mise en place et l’utilisation d’une main courante est-elle soumise à une réglementation ?</t>
  </si>
  <si>
    <t>Oui, c’est la loi du 12 juillet 1983 qui l’impose</t>
  </si>
  <si>
    <t>Oui, c’est le CSI qui l’impose</t>
  </si>
  <si>
    <t>Oui, c’est la convention collective qui l’impose</t>
  </si>
  <si>
    <t>Non, mais elle permet de se protéger en cas de saisie par les autorités</t>
  </si>
  <si>
    <t>Les consignes spéciales de votre société de sécurité doivent-elles avoir un numéro séquentiel de version ?</t>
  </si>
  <si>
    <t>Oui, pour pouvoir les ranger dans les archives</t>
  </si>
  <si>
    <t>Oui, pour savoir si c’est la bonne version en vigueur</t>
  </si>
  <si>
    <t>Non, puisqu’elles sont permanentes</t>
  </si>
  <si>
    <t>Non, cela ne sert à rien</t>
  </si>
  <si>
    <t>Une main courante informatisée peut-elle être consultable à distance ?</t>
  </si>
  <si>
    <t>Non, pour éviter tout piratage</t>
  </si>
  <si>
    <t>Non, les informations doivent rester sur le site</t>
  </si>
  <si>
    <t>Oui, le responsable pourra voir au fur et à mesure les événements</t>
  </si>
  <si>
    <t>Oui, lorsque l’on veut la modifier en fin de journée</t>
  </si>
  <si>
    <t>Vous disposez d’une main courante informatisée, devez-vous quand même disposer d’une main courante papier ?</t>
  </si>
  <si>
    <t>Oui, et on doit remplir les deux</t>
  </si>
  <si>
    <t>Oui, dans l’éventualité où la main courante informatisée soit hors service</t>
  </si>
  <si>
    <t>Non, puisqu’on peut tout imprimer plus tard</t>
  </si>
  <si>
    <t>Une main courante a comme objectif :</t>
  </si>
  <si>
    <t>De noter uniquement les interventions de la vacation</t>
  </si>
  <si>
    <t>De noter uniquement les problèmes techniques</t>
  </si>
  <si>
    <t>De transmettre uniquement des consignes</t>
  </si>
  <si>
    <t>De relater tous les événements liés à la sécurité lors de la vacation</t>
  </si>
  <si>
    <t>Le compte rendu écrit est un moyen :</t>
  </si>
  <si>
    <t>Qui constitue une preuve irréfutable</t>
  </si>
  <si>
    <t>De signaler un fait circonstancié urgent et important</t>
  </si>
  <si>
    <t>De noter sur un document brouillon avant de le rédiger au propre</t>
  </si>
  <si>
    <t>De contrôle du travail effectué par les agents</t>
  </si>
  <si>
    <t>Concernant les rondes, que doit-on notifier sur la main courante ?</t>
  </si>
  <si>
    <t>Le nom de l’agent effectuant la ronde</t>
  </si>
  <si>
    <t>L’heure de retour de ronde</t>
  </si>
  <si>
    <t>Les anomalies constatées</t>
  </si>
  <si>
    <t>Les mesures prises en cas d’anomalie</t>
  </si>
  <si>
    <t>Toutes les réponses sont bonnes</t>
  </si>
  <si>
    <t>Un rapport circonstancié doit :</t>
  </si>
  <si>
    <t>Indiquer l’ensemble des informations de l’incident</t>
  </si>
  <si>
    <t>Uniquement indiquer les conséquences de l’incident</t>
  </si>
  <si>
    <t>Uniquement indiquer les circonstances de l’incident</t>
  </si>
  <si>
    <t>Proposer les solutions afin d’éviter que l’incident ne se reproduise</t>
  </si>
  <si>
    <t>De quelle couleur est-il préférable d’écrire les événements quotidiens sur une main courante ?</t>
  </si>
  <si>
    <t>En jaune</t>
  </si>
  <si>
    <r>
      <t xml:space="preserve">        </t>
    </r>
    <r>
      <rPr>
        <sz val="12"/>
        <color theme="1"/>
        <rFont val="Arial"/>
        <family val="2"/>
      </rPr>
      <t>1 - D</t>
    </r>
    <r>
      <rPr>
        <sz val="11"/>
        <color theme="1"/>
        <rFont val="Arial"/>
        <family val="2"/>
      </rPr>
      <t>’après vous, une bonne présentation est-elle nécessaire durant votre service ?|Oui|Non|Cela dépend du poste occupé|Uniquement au contact du public|Aucune des autres réponses</t>
    </r>
  </si>
  <si>
    <r>
      <t xml:space="preserve">        </t>
    </r>
    <r>
      <rPr>
        <sz val="11"/>
        <color theme="1"/>
        <rFont val="Arial"/>
        <family val="2"/>
      </rPr>
      <t>2 - Une zone de protection volumétrique concerne :|Un objet précis|Une vitrine|Un local|Une clôture|Aucune des autres réponses</t>
    </r>
  </si>
  <si>
    <r>
      <t xml:space="preserve">        </t>
    </r>
    <r>
      <rPr>
        <sz val="11"/>
        <color theme="1"/>
        <rFont val="Arial"/>
        <family val="2"/>
      </rPr>
      <t>3 - Dans quelle condition un APS peut-il être amené à appréhender un individu ?|L’individu paraît suspect en ressortant du site sans dire “au revoir”|L’individu comment un délit ou un crime sur le site|L’individu refuse d’ouvrir son bagage à l’entrée de l’établissement|L’individu est sur le site pendant les heures d’ouverture et ne respecte pas le règlement intérieur|Aucune des autres réponses</t>
    </r>
  </si>
  <si>
    <r>
      <t xml:space="preserve">        </t>
    </r>
    <r>
      <rPr>
        <sz val="11"/>
        <color theme="1"/>
        <rFont val="Arial"/>
        <family val="2"/>
      </rPr>
      <t>4 - Vous êtes agent pré-vol, vous constatez qu’un de vos amis dissimule une bouteille de rhum dans son blouson et quitte le magasin par la sortie sans achats. Quelle est votre réaction ?|Vous ne faites rien car c’est un ami|VOus lui demandez de remettre la bouteille en place discrètement|Vous ne réagissez pas mais en parlerez avec lui après votre travail|Vous prévenez vos collègues pour une appréhension en sortie sans achats|Aucune des autres réponses</t>
    </r>
  </si>
  <si>
    <r>
      <t xml:space="preserve">        </t>
    </r>
    <r>
      <rPr>
        <sz val="11"/>
        <color theme="1"/>
        <rFont val="Arial"/>
        <family val="2"/>
      </rPr>
      <t>5 - Les acteurs de la sécurité privée doivent en priorité :|Comptabiliser les vols en magasin|Ne pas intervenir sur les accidents et les incendies|Aider la justice et les services de police|Favoriser les délits et les crimes|Aucune des autres réponses</t>
    </r>
  </si>
  <si>
    <r>
      <t xml:space="preserve">        </t>
    </r>
    <r>
      <rPr>
        <sz val="11"/>
        <color theme="1"/>
        <rFont val="Arial"/>
        <family val="2"/>
      </rPr>
      <t>6 - Au cours d’une appréhension n arrière-caisse, un individu vous porte un violent coup de poing au visage, vous cassant le nez :|Il n’y a rien à faire, ce sont les risques du métier, vous ferez plus attention la prochaine fois|Vous allez vous faire examiner par un médecin qui vous délivrera un arrêt de travail|Vous lui rendez la pareille étant en état de légitime défense|Vous ne pouvez pas déposer plainte contre la personne, c’est du ressort du magasin pour lequel vous travaillez|Aucune des autres réponses</t>
    </r>
  </si>
  <si>
    <r>
      <t xml:space="preserve">        </t>
    </r>
    <r>
      <rPr>
        <sz val="11"/>
        <color theme="1"/>
        <rFont val="Arial"/>
        <family val="2"/>
      </rPr>
      <t>7 - Indiquez une mission entrant dans le cadre d’une ronde de fermeture :|Distribuer le courrier|Contrôler la fermeture des fenêtres|Mettre en action les extincteurs|Arroser les plantes de l’accueil|Aucune des autres réponses</t>
    </r>
  </si>
  <si>
    <r>
      <t xml:space="preserve">        </t>
    </r>
    <r>
      <rPr>
        <sz val="11"/>
        <color theme="1"/>
        <rFont val="Arial"/>
        <family val="2"/>
      </rPr>
      <t>8 - Indiquez ce que l’on doit inscrire sur la main courante ?|Les alarmes techniques|Mes impressions en fin de journée|Les noms des agents de sécurité de repos|Les messages personnels|Aucune des autres réponses</t>
    </r>
  </si>
  <si>
    <r>
      <t xml:space="preserve">        </t>
    </r>
    <r>
      <rPr>
        <sz val="11"/>
        <color theme="1"/>
        <rFont val="Arial"/>
        <family val="2"/>
      </rPr>
      <t>9 - En ce qui concerne la ronde, un point dit sensible est :|Un point qui en cas d’atteinte pourrait handicaper le bon fonctionnement de l’entreprise|Un point qui a fait l’objet d’une non-conformité relevée lors d’un contrôle du CNAPS|Un point comportant un danger permanent|Un point convoité par les voleurs|Aucune des autres réponses</t>
    </r>
  </si>
  <si>
    <r>
      <t xml:space="preserve">        </t>
    </r>
    <r>
      <rPr>
        <sz val="11"/>
        <color theme="1"/>
        <rFont val="Arial"/>
        <family val="2"/>
      </rPr>
      <t>10 - Vous êtes agent en arrière caisse dans un magasin, pouvez-vous procéder à l’inspection visuelle des sacs d’achat de personnes déjà passées en caisse ?|Seulement en présence des forces de l’ordre|Oui, si vos consignes le précisent|Oui, comme bon vous semble|Uniquement si le plan Vigipirate est déclenché|Aucune des autres réponses</t>
    </r>
  </si>
  <si>
    <r>
      <t xml:space="preserve">        </t>
    </r>
    <r>
      <rPr>
        <sz val="11"/>
        <color theme="1"/>
        <rFont val="Arial"/>
        <family val="2"/>
      </rPr>
      <t>11 - Quels sont les différents moyens de communication mis à disposition d’un agent de sécurité ?|Les moyens de liaison|Les moyens d'alarme|Les moyens de protection|Les moyens télépathiques|Aucune des autres réponses</t>
    </r>
  </si>
  <si>
    <r>
      <t xml:space="preserve">        </t>
    </r>
    <r>
      <rPr>
        <sz val="11"/>
        <color theme="1"/>
        <rFont val="Arial"/>
        <family val="2"/>
      </rPr>
      <t>12 - Face à une réquisition légale ?|On peut refuser de l’exécuter s’il n’y a pas la présence d’un sceau du service de police ou de gendarmerie|On peut refuser de l’exécuter si on n’est pas en fonction d’agent de sécurité|On peut refuser de l’exécuter sans motif légitime|On ne peut sans motif légitime refuser de l’exécuter sous peine d’être poursuivi|Aucune des autres réponses</t>
    </r>
  </si>
  <si>
    <t>D’après vous, une bonne présentation est-elle nécessaire durant votre service ?</t>
  </si>
  <si>
    <t>Oui</t>
  </si>
  <si>
    <t>Non</t>
  </si>
  <si>
    <t>Cela dépend du poste occupé</t>
  </si>
  <si>
    <t>Uniquement au contact du public</t>
  </si>
  <si>
    <t>Une zone de protection volumétrique concerne :</t>
  </si>
  <si>
    <t>Un objet précis</t>
  </si>
  <si>
    <t>Une vitrine</t>
  </si>
  <si>
    <t>Un local</t>
  </si>
  <si>
    <t>Une clôture</t>
  </si>
  <si>
    <t>Dans quelle condition un APS peut-il être amené à appréhender un individu ?</t>
  </si>
  <si>
    <t>L’individu paraît suspect en ressortant du site sans dire “au revoir”</t>
  </si>
  <si>
    <t>L’individu comment un délit ou un crime sur le site</t>
  </si>
  <si>
    <t>L’individu refuse d’ouvrir son bagage à l’entrée de l’établissement</t>
  </si>
  <si>
    <t>L’individu est sur le site pendant les heures d’ouverture et ne respecte pas le règlement intérieur</t>
  </si>
  <si>
    <t>Vous êtes agent pré-vol, vous constatez qu’un de vos amis dissimule une bouteille de rhum dans son blouson et quitte le magasin par la sortie sans achats. Quelle est votre réaction ?</t>
  </si>
  <si>
    <t>Vous ne faites rien car c’est un ami</t>
  </si>
  <si>
    <t>VOus lui demandez de remettre la bouteille en place discrètement</t>
  </si>
  <si>
    <t>Vous ne réagissez pas mais en parlerez avec lui après votre travail</t>
  </si>
  <si>
    <t>Vous prévenez vos collègues pour une appréhension en sortie sans achats</t>
  </si>
  <si>
    <t>Les acteurs de la sécurité privée doivent en priorité :</t>
  </si>
  <si>
    <t>Comptabiliser les vols en magasin</t>
  </si>
  <si>
    <t>Ne pas intervenir sur les accidents et les incendies</t>
  </si>
  <si>
    <t>Aider la justice et les services de police</t>
  </si>
  <si>
    <t>Favoriser les délits et les crimes</t>
  </si>
  <si>
    <t>Au cours d’une appréhension n arrière-caisse, un individu vous porte un violent coup de poing au visage, vous cassant le nez :</t>
  </si>
  <si>
    <t>Il n’y a rien à faire, ce sont les risques du métier, vous ferez plus attention la prochaine fois</t>
  </si>
  <si>
    <t>Vous allez vous faire examiner par un médecin qui vous délivrera un arrêt de travail</t>
  </si>
  <si>
    <t>Vous lui rendez la pareille étant en état de légitime défense</t>
  </si>
  <si>
    <t>Vous ne pouvez pas déposer plainte contre la personne, c’est du ressort du magasin pour lequel vous travaillez</t>
  </si>
  <si>
    <t>Indiquez une mission entrant dans le cadre d’une ronde de fermeture :</t>
  </si>
  <si>
    <t>Distribuer le courrier</t>
  </si>
  <si>
    <t>Contrôler la fermeture des fenêtres</t>
  </si>
  <si>
    <t>Mettre en action les extincteurs</t>
  </si>
  <si>
    <t>Arroser les plantes de l’accueil</t>
  </si>
  <si>
    <t>Indiquez ce que l’on doit inscrire sur la main courante ?</t>
  </si>
  <si>
    <t>Les alarmes techniques</t>
  </si>
  <si>
    <t>Mes impressions en fin de journée</t>
  </si>
  <si>
    <t>Les noms des agents de sécurité de repos</t>
  </si>
  <si>
    <t>Les messages personnels</t>
  </si>
  <si>
    <t>En ce qui concerne la ronde, un point dit sensible est :</t>
  </si>
  <si>
    <t>Un point qui en cas d’atteinte pourrait handicaper le bon fonctionnement de l’entreprise</t>
  </si>
  <si>
    <t>Un point qui a fait l’objet d’une non-conformité relevée lors d’un contrôle du CNAPS</t>
  </si>
  <si>
    <t>Un point comportant un danger permanent</t>
  </si>
  <si>
    <t>Un point convoité par les voleurs</t>
  </si>
  <si>
    <t>Vous êtes agent en arrière caisse dans un magasin, pouvez-vous procéder à l’inspection visuelle des sacs d’achat de personnes déjà passées en caisse ?</t>
  </si>
  <si>
    <t>Seulement en présence des forces de l’ordre</t>
  </si>
  <si>
    <t>Oui, si vos consignes le précisent</t>
  </si>
  <si>
    <t>Oui, comme bon vous semble</t>
  </si>
  <si>
    <t>Uniquement si le plan Vigipirate est déclenché</t>
  </si>
  <si>
    <t>Quels sont les différents moyens de communication mis à disposition d’un agent de sécurité ?</t>
  </si>
  <si>
    <t>Les moyens de liaison</t>
  </si>
  <si>
    <t>Les moyens d'alarme</t>
  </si>
  <si>
    <t>Les moyens de protection</t>
  </si>
  <si>
    <t>Les moyens télépathiques</t>
  </si>
  <si>
    <t>Face à une réquisition légale ?</t>
  </si>
  <si>
    <t>On peut refuser de l’exécuter s’il n’y a pas la présence d’un sceau du service de police ou de gendarmerie</t>
  </si>
  <si>
    <t>On peut refuser de l’exécuter si on n’est pas en fonction d’agent de sécurité</t>
  </si>
  <si>
    <t>On peut refuser de l’exécuter sans motif légitime</t>
  </si>
  <si>
    <t>On ne peut sans motif légitime refuser de l’exécuter sous peine d’être poursuivi</t>
  </si>
  <si>
    <r>
      <t>1 – Le triangle du feu regroupe trois paramètres :</t>
    </r>
    <r>
      <rPr>
        <sz val="12"/>
        <color theme="1"/>
        <rFont val="Aptos"/>
        <family val="2"/>
      </rPr>
      <t>|Le carburant, le combustible, l’inhibition|Le comburant, le combustible, l’énergie d’activation|Le refroidissement, le comburant, le carburant|Aucune des réponses n’est correcte</t>
    </r>
  </si>
  <si>
    <r>
      <t>2 – Quel est le danger des fumées ?</t>
    </r>
    <r>
      <rPr>
        <sz val="12"/>
        <color theme="1"/>
        <rFont val="Aptos"/>
        <family val="2"/>
      </rPr>
      <t>|Leur forte teneur en oxygène|Leur opacité, leur toxicité et la chaleur|Leur couleur|Aucune des réponses précédentes</t>
    </r>
  </si>
  <si>
    <r>
      <t>3 – Quelle est la meilleure façon d’éteindre un feu sur une fuite de gaz ?</t>
    </r>
    <r>
      <rPr>
        <sz val="12"/>
        <color theme="1"/>
        <rFont val="Aptos"/>
        <family val="2"/>
      </rPr>
      <t>|Fermer la vanne de barrage|Utiliser un linge humide|Utiliser un RIA|Utiliser un extincteur|Aucune des autres réponses</t>
    </r>
  </si>
  <si>
    <r>
      <t>4 – Lors d’un incendie, quel effet est le plus dangereux pour l’homme ?</t>
    </r>
    <r>
      <rPr>
        <sz val="12"/>
        <color theme="1"/>
        <rFont val="Aptos"/>
        <family val="2"/>
      </rPr>
      <t>|La pénétration de fumée par les vêtements|La pénétration de fumée par la conduction|La pénétration de fumée par la peau|La pénétration de fumée par les voies respiratoires|Aucune des autres réponses</t>
    </r>
  </si>
  <si>
    <r>
      <t>5 – Vous intervenez sur un feu d’armoire électrique, quelle précaution est utile ?</t>
    </r>
    <r>
      <rPr>
        <sz val="12"/>
        <color theme="1"/>
        <rFont val="Aptos"/>
        <family val="2"/>
      </rPr>
      <t>|Vérifier que l’extincteur utilisé est à jet plein|Contacter préalablement le fournisseur d’électricité|Couper ou veiller à ce que l’électricité soit coupée|Mettre un appareil respiratoire isolant|Aucune des réponses précédentes</t>
    </r>
  </si>
  <si>
    <r>
      <t>6 – Quelle est la distance d’attaque préconisée d’un extincteur à poudre ?</t>
    </r>
    <r>
      <rPr>
        <sz val="12"/>
        <color theme="1"/>
        <rFont val="Aptos"/>
        <family val="2"/>
      </rPr>
      <t>|Environ 1 mètre|De 2 à 3 mètres|De 3 à 4 mètres|De 6 à 7 mètres|Aucune des autres réponses</t>
    </r>
  </si>
  <si>
    <r>
      <t>7 – Vous êtes en poste dans un laboratoire. Vous constatez un déclenchement d’incendie. Dans le local se trouvent un extincteur rouge et un extincteur vert, lequel allez-vous utiliser pour éteindre le feu ?</t>
    </r>
    <r>
      <rPr>
        <sz val="12"/>
        <color theme="1"/>
        <rFont val="Aptos"/>
        <family val="2"/>
      </rPr>
      <t>|Rouge|Vert|Le rouge ou le vert, les 2 sont adaptés|Aucun des deux|Aucune des autres réponses</t>
    </r>
  </si>
  <si>
    <r>
      <t>8 – Vous êtes en poste, les pompiers arrivent sur le site sinistré. Vous êtes informé que la voie d’accès principale est bloquée par un camion stationné. Que faites-vous en priorité ?</t>
    </r>
    <r>
      <rPr>
        <sz val="12"/>
        <color theme="1"/>
        <rFont val="Aptos"/>
        <family val="2"/>
      </rPr>
      <t>|J’appelle les personnels de l’usine, au point de rassemblement, pour déplacer le véhicule|J’appelle la fourrière|Je propose aux pompiers d’emprunter un autre accès qui est libre|J’autorise les pompiers à pousser le camion, ils en ont l’obligation|Aucune des réponses précédentes</t>
    </r>
  </si>
  <si>
    <r>
      <t>9 – Dans quel cas doit-on redouter un permis de feu ?</t>
    </r>
    <r>
      <rPr>
        <sz val="12"/>
        <color theme="1"/>
        <rFont val="Aptos"/>
        <family val="2"/>
      </rPr>
      <t>|Lors de l’utilisation d’un véhicule muni d’un moteur|À l’occasion de travaux par points chauds|À la mise en place d’une zone fumeur|Lors de la mise en fonctionnement du groupe électrogène|Aucune des réponses précédentes</t>
    </r>
  </si>
  <si>
    <r>
      <t>10 – Sur votre centrale incendie, un voyant rouge allumé signifie :</t>
    </r>
    <r>
      <rPr>
        <sz val="12"/>
        <color theme="1"/>
        <rFont val="Aptos"/>
        <family val="2"/>
      </rPr>
      <t>|Un dérangement ou une anomalie|Que la centrale incendie est bien sous tension|Une alarme incendie|Que tout va bien dans l’établissement|Aucune des réponses précédentes</t>
    </r>
  </si>
  <si>
    <r>
      <t>11 – Comment agit un extincteur à eau sur le feu ?</t>
    </r>
    <r>
      <rPr>
        <sz val="12"/>
        <color theme="1"/>
        <rFont val="Aptos"/>
        <family val="2"/>
      </rPr>
      <t>|Par étouffement|Par soufflement|Par refroidissement|Par inhibition|Aucune des réponses précédentes</t>
    </r>
  </si>
  <si>
    <r>
      <t>12 – Vous intervenez sur un feu d’armoire électrique. Quel extincteur utilisez-vous de préférence ?</t>
    </r>
    <r>
      <rPr>
        <sz val="12"/>
        <color theme="1"/>
        <rFont val="Aptos"/>
        <family val="2"/>
      </rPr>
      <t>|Un extincteur à poudre|Un extincteur au CO₂|Un extincteur à eau|Une douche portative|Aucune des réponses précédentes</t>
    </r>
  </si>
  <si>
    <r>
      <t>13 – Une des causes de départ de feu peut être ?</t>
    </r>
    <r>
      <rPr>
        <sz val="12"/>
        <color theme="1"/>
        <rFont val="Aptos"/>
        <family val="2"/>
      </rPr>
      <t>|Les causes surnaturelles|Les causes humaines|Les causes législatives|Les causes perdues|Aucune des autres réponses</t>
    </r>
  </si>
  <si>
    <r>
      <t>14 – Quelle est la fonction de l’E.C.S. ?</t>
    </r>
    <r>
      <rPr>
        <sz val="12"/>
        <color theme="1"/>
        <rFont val="Aptos"/>
        <family val="2"/>
      </rPr>
      <t>|De collecter les informations provenant des détecteurs volumétriques|De mettre en sécurité le bâtiment|De collecter les informations provenant des DAI et des DM|De fournir de l’Eau Conditionnée Suffisante|Aucune des autres réponses</t>
    </r>
  </si>
  <si>
    <r>
      <t>15 – Le feu d’origine électrique est un feu de classe :</t>
    </r>
    <r>
      <rPr>
        <sz val="12"/>
        <color theme="1"/>
        <rFont val="Aptos"/>
        <family val="2"/>
      </rPr>
      <t>|A|B|C|Aucune des autres réponses|E</t>
    </r>
  </si>
  <si>
    <r>
      <t>16 – À quoi sert l’alarme générale sélective ?</t>
    </r>
    <r>
      <rPr>
        <sz val="12"/>
        <color theme="1"/>
        <rFont val="Aptos"/>
        <family val="2"/>
      </rPr>
      <t>|À prévenir une catégorie de personnel|À informer le PC pour effectuer une levée de doute|À informer le directeur|À informer les pompiers|Aucune des autres réponses</t>
    </r>
  </si>
  <si>
    <r>
      <t>17 – Qu’est-ce qui caractérise un extincteur à CO₂ ?</t>
    </r>
    <r>
      <rPr>
        <sz val="12"/>
        <color theme="1"/>
        <rFont val="Aptos"/>
        <family val="2"/>
      </rPr>
      <t>|Son manomètre|Sa couleur|Son tromblon|Sa forme ronde|Aucune des autres réponses</t>
    </r>
  </si>
  <si>
    <r>
      <t>18 – Un extincteur au CO₂ est-il un extincteur à pression permanente ?</t>
    </r>
    <r>
      <rPr>
        <sz val="12"/>
        <color theme="1"/>
        <rFont val="Aptos"/>
        <family val="2"/>
      </rPr>
      <t>|Oui|Oui s’il est muni d’un densimètre|Non|Non il est rechargeable|Aucune des autres réponses</t>
    </r>
  </si>
  <si>
    <r>
      <t>19 – Vous êtes en poste au PC sécurité et une Alarme Incendie retentit :</t>
    </r>
    <r>
      <rPr>
        <sz val="12"/>
        <color theme="1"/>
        <rFont val="Aptos"/>
        <family val="2"/>
      </rPr>
      <t>|Vous arrêtez immédiatement le signal sonore et réarmez la zone. Ce n’est sûrement rien, comme d’habitude|Vous fixez ce que vous faisiez. Vous agissez toujours le temps d’envoyer le rondier à son retour de ronde|Vous contactez sur le champ votre collègue pour qu’il effectue immédiatement une levée de doute sur zone|Vous appuyez sur l’évacuation générale pour être sûr que tout le monde évacue|Aucune des réponses précédentes</t>
    </r>
  </si>
  <si>
    <r>
      <t>20 – Quelle est la première action d’un APS lors d’un déclenchement d’une alarme incendie ?</t>
    </r>
    <r>
      <rPr>
        <sz val="12"/>
        <color theme="1"/>
        <rFont val="Aptos"/>
        <family val="2"/>
      </rPr>
      <t>|Faire une levée de doute|Appeler les pompiers|Arrêter le signal sonore|Réarmer le SSI|Aucune des réponses précédentes</t>
    </r>
  </si>
  <si>
    <r>
      <t>21 – Combien de types de pressions différentes trouve-t-on sur un extincteur ?</t>
    </r>
    <r>
      <rPr>
        <sz val="12"/>
        <color theme="1"/>
        <rFont val="Aptos"/>
        <family val="2"/>
      </rPr>
      <t>|Aucun|Une|Deux|Quatre|Aucune des autres réponses</t>
    </r>
  </si>
  <si>
    <r>
      <t>22 – En cas de départ de feu, quelle doit être l’attitude de l’agent de sécurité ?</t>
    </r>
    <r>
      <rPr>
        <sz val="12"/>
        <color theme="1"/>
        <rFont val="Aptos"/>
        <family val="2"/>
      </rPr>
      <t>|Tenter l’extinction du départ de feu|Ouvrir les portes et les fenêtres avant d’évacuer|Récupérer toutes mes affaires avant d’évacuer|Attendre l’arrivée des pompiers pour évacuer|Aucune des autres réponses</t>
    </r>
  </si>
  <si>
    <r>
      <t>23 – Quel cas utilise-t-on de préférence un extincteur à eau pulvérisé ?</t>
    </r>
    <r>
      <rPr>
        <sz val="12"/>
        <color theme="1"/>
        <rFont val="Aptos"/>
        <family val="2"/>
      </rPr>
      <t>|Feu d’origine électrique|Feu de poubelles|Feu d’essence|Feu de métaux|Aucune des autres réponses</t>
    </r>
  </si>
  <si>
    <r>
      <t>24 – Que désigne un E.R.P. ?</t>
    </r>
    <r>
      <rPr>
        <sz val="12"/>
        <color theme="1"/>
        <rFont val="Aptos"/>
        <family val="2"/>
      </rPr>
      <t>|Établissement Recevant le Président|Établissement Recevant du Personnel|Établissement Recevant du Public|Établissement Recevant le Plus grand nombre|Aucune des autres réponses</t>
    </r>
  </si>
  <si>
    <r>
      <t>25 – Un extincteur au CO₂ est-il un extincteur à pression auxiliaire ?</t>
    </r>
    <r>
      <rPr>
        <sz val="12"/>
        <color theme="1"/>
        <rFont val="Aptos"/>
        <family val="2"/>
      </rPr>
      <t>|Oui|Oui s’il est muni d’un anémomètre|Non |Non s’il est rechargeable|Aucune des autres réponses</t>
    </r>
  </si>
  <si>
    <r>
      <t>26 – Qu’est-ce qu’un I.G.H. ?</t>
    </r>
    <r>
      <rPr>
        <sz val="12"/>
        <color theme="1"/>
        <rFont val="Aptos"/>
        <family val="2"/>
      </rPr>
      <t>|Immeuble de Groupement Habilité|Installation de Grande Hauteur|Installation Grandement Habilitée|Immeuble de Grande Hauteur|Aucune des autres réponses</t>
    </r>
  </si>
  <si>
    <r>
      <t>27 – Un DAI à clé sollicité, comment se nomme l’alarme qui sonne au PCS ?</t>
    </r>
    <r>
      <rPr>
        <sz val="12"/>
        <color theme="1"/>
        <rFont val="Aptos"/>
        <family val="2"/>
      </rPr>
      <t>|Alarme intrusion|Alarme restreinte|Alarme générale sélective|Alarme générale|Aucune des autres réponses</t>
    </r>
  </si>
  <si>
    <r>
      <t>28 – Quel élément fait partie du triangle du feu ?</t>
    </r>
    <r>
      <rPr>
        <sz val="12"/>
        <color theme="1"/>
        <rFont val="Aptos"/>
        <family val="2"/>
      </rPr>
      <t>|Le refroidissement|La combustion|La conduction|Le comburant|Aucune des autres réponses</t>
    </r>
  </si>
  <si>
    <r>
      <t>29 – Combien y a-t-il de classes de feu ?</t>
    </r>
    <r>
      <rPr>
        <sz val="12"/>
        <color theme="1"/>
        <rFont val="Aptos"/>
        <family val="2"/>
      </rPr>
      <t>|Une|Deux|Cinq|Six|Aucune des autres réponses</t>
    </r>
  </si>
  <si>
    <r>
      <t>30 – Quelle est la distance d’attaque préconisée d’un extincteur à eau ?</t>
    </r>
    <r>
      <rPr>
        <sz val="12"/>
        <color theme="1"/>
        <rFont val="Aptos"/>
        <family val="2"/>
      </rPr>
      <t>|Environ 1 mètre|De 2 à 3 mètres|De 3 à 4 mètres|De 6 à 7 mètres|Aucune des autres réponses</t>
    </r>
  </si>
  <si>
    <r>
      <t>31 – Vous effectuez une ronde, un ouvrier d’une société extérieure réalise des travaux par points chauds. À priori, vous n’avez ni consignes, ni permis feu. Que faites-vous ?</t>
    </r>
    <r>
      <rPr>
        <sz val="12"/>
        <color theme="1"/>
        <rFont val="Aptos"/>
        <family val="2"/>
      </rPr>
      <t>|Je contacte le PC sécurité pour demander la conduite à tenir|Je passe mon chemin pour laisser l’ouvrier faire son travail|Je contacte le PCS pour vérification et selon consigne je fais cesser les travaux|Je verbalise l’ouvrier contrevenant|Aucune des autres réponses</t>
    </r>
  </si>
  <si>
    <r>
      <t>32 – Lors de la mise en place d’un permis feu, quelles consignes sont importantes à confier à l’exécutant ?</t>
    </r>
    <r>
      <rPr>
        <sz val="12"/>
        <color theme="1"/>
        <rFont val="Aptos"/>
        <family val="2"/>
      </rPr>
      <t>|Aveugler les ouvertures, interstices, fissures, …|Dégager largement la zone de travail de tout matériel combustible ou inflammable|Prendre toute disposition pour éviter le déclenchement du système de détection incendie|Surveiller les projections incandescentes et les points de chute pendant le travail|Toutes ces consignes sont à prendre en compte</t>
    </r>
  </si>
  <si>
    <r>
      <t>33 – Est-il possible qu’un feu s’éteigne en supprimant un des éléments du triangle du feu ?</t>
    </r>
    <r>
      <rPr>
        <sz val="12"/>
        <color theme="1"/>
        <rFont val="Aptos"/>
        <family val="2"/>
      </rPr>
      <t>|Oui|Oui si les conditions météorologiques sont favorables|Non |Non, sans le savoir-faire d’un expert métier|Aucune des autres réponses</t>
    </r>
  </si>
  <si>
    <r>
      <t>34 – En cas de départ de feu, quelle doit être l’attitude des occupants ?</t>
    </r>
    <r>
      <rPr>
        <sz val="12"/>
        <color theme="1"/>
        <rFont val="Aptos"/>
        <family val="2"/>
      </rPr>
      <t xml:space="preserve"> |Fermer les portes et les fenêtres en évacuant|Ouvrir les portes et les fenêtres avant d’évacuer|Récupérer toutes mes affaires avant d’évacuer|Attendre l’arrivée des pompiers pour évacuer|Aucune des autres réponses</t>
    </r>
  </si>
  <si>
    <r>
      <t>35 – Quels sont les éléments indispensables à la combustion ?</t>
    </r>
    <r>
      <rPr>
        <sz val="12"/>
        <color theme="1"/>
        <rFont val="Aptos"/>
        <family val="2"/>
      </rPr>
      <t>|Une propagation, un carburant, un combustible|Du liquide, du vent, du carburant|Un combustible, un comburant, une énergie d’activation|Un vent, une étincelle, une matière inflammable|Aucune des autres réponses</t>
    </r>
  </si>
  <si>
    <r>
      <t>36 – Que signifie le terme R.I.A. ?</t>
    </r>
    <r>
      <rPr>
        <sz val="12"/>
        <color theme="1"/>
        <rFont val="Aptos"/>
        <family val="2"/>
      </rPr>
      <t xml:space="preserve"> </t>
    </r>
    <r>
      <rPr>
        <b/>
        <sz val="12"/>
        <color theme="1"/>
        <rFont val="Aptos"/>
        <family val="2"/>
      </rPr>
      <t>|</t>
    </r>
    <r>
      <rPr>
        <sz val="12"/>
        <color theme="1"/>
        <rFont val="Aptos"/>
        <family val="2"/>
      </rPr>
      <t>Robinet d’intervention alimenté|Robinet d’incident arrimé|Robinet d’incident armé|Robinet d’incendie armé|Aucune des autres réponses</t>
    </r>
  </si>
  <si>
    <r>
      <t>37 – L’air est composé environ à 21% :</t>
    </r>
    <r>
      <rPr>
        <sz val="12"/>
        <color theme="1"/>
        <rFont val="Aptos"/>
        <family val="2"/>
      </rPr>
      <t>|D’azote|D’oxygène|De dioxyde de carbone|De gaz rares|Aucune des autres réponses</t>
    </r>
  </si>
  <si>
    <r>
      <t>38 – La classe de feu F concerne :</t>
    </r>
    <r>
      <rPr>
        <sz val="12"/>
        <color theme="1"/>
        <rFont val="Aptos"/>
        <family val="2"/>
      </rPr>
      <t>|Les feux de forêts|Les feux de dépôt graisseux servant d’auxiliaires de cuisson|Les feux de liquides incombustibles|Rien car cette classe n’existe pas|Aucune des autres réponses</t>
    </r>
  </si>
  <si>
    <r>
      <t>39 – Vous effectuez une ronde, un ouvrier d’une société extérieure réalise des travaux par points chauds. Vous n’avez ni consigne, ni permis feu. Que faites-vous ?</t>
    </r>
    <r>
      <rPr>
        <sz val="12"/>
        <color theme="1"/>
        <rFont val="Aptos"/>
        <family val="2"/>
      </rPr>
      <t>|Je contacte le PC sécurité pour demander la conduite à tenir|Je passe mon chemin pour laisser l’ouvrier faire son travail|Je fais cesser immédiatement les travaux avant de prendre des renseignements auprès du PC sécurité|Je verbalise l’ouvrier contrevenant|Aucune des autres réponses</t>
    </r>
  </si>
  <si>
    <r>
      <t>40 – Les travaux par points chauds ont lieu dans votre établissement. Le service de sécurité quitte l’établissement qui n’est donc plus sous sa surveillance à partir de 21h. À quelle heure maximum les travaux doivent-ils cesser ?</t>
    </r>
    <r>
      <rPr>
        <sz val="12"/>
        <color theme="1"/>
        <rFont val="Aptos"/>
        <family val="2"/>
      </rPr>
      <t>|17h|18h|19h|20h|21h</t>
    </r>
  </si>
  <si>
    <t>Le triangle du feu regroupe trois paramètres :</t>
  </si>
  <si>
    <t>Le carburant, le combustible, l’inhibition</t>
  </si>
  <si>
    <t>Le comburant, le combustible, l’énergie d’activation</t>
  </si>
  <si>
    <t>Le refroidissement, le comburant, le carburant</t>
  </si>
  <si>
    <t>Aucune des réponses n’est correcte</t>
  </si>
  <si>
    <t>Quel est le danger des fumées ?</t>
  </si>
  <si>
    <t>Leur forte teneur en oxygène</t>
  </si>
  <si>
    <t>Leur opacité, leur toxicité et la chaleur</t>
  </si>
  <si>
    <t>Leur couleur</t>
  </si>
  <si>
    <t>Aucune des réponses précédentes</t>
  </si>
  <si>
    <t>Quelle est la meilleure façon d’éteindre un feu sur une fuite de gaz ?</t>
  </si>
  <si>
    <t>Fermer la vanne de barrage</t>
  </si>
  <si>
    <t>Utiliser un linge humide</t>
  </si>
  <si>
    <t>Utiliser un RIA</t>
  </si>
  <si>
    <t>Utiliser un extincteur</t>
  </si>
  <si>
    <t>Lors d’un incendie, quel effet est le plus dangereux pour l’homme ?</t>
  </si>
  <si>
    <t>La pénétration de fumée par les vêtements</t>
  </si>
  <si>
    <t>La pénétration de fumée par la conduction</t>
  </si>
  <si>
    <t>La pénétration de fumée par la peau</t>
  </si>
  <si>
    <t>La pénétration de fumée par les voies respiratoires</t>
  </si>
  <si>
    <t>Vous intervenez sur un feu d’armoire électrique, quelle précaution est utile ?</t>
  </si>
  <si>
    <t>Vérifier que l’extincteur utilisé est à jet plein</t>
  </si>
  <si>
    <t>Contacter préalablement le fournisseur d’électricité</t>
  </si>
  <si>
    <t>Couper ou veiller à ce que l’électricité soit coupée</t>
  </si>
  <si>
    <t>Mettre un appareil respiratoire isolant</t>
  </si>
  <si>
    <t>Quelle est la distance d’attaque préconisée d’un extincteur à poudre ?</t>
  </si>
  <si>
    <t>Environ 1 mètre</t>
  </si>
  <si>
    <t>De 2 à 3 mètres</t>
  </si>
  <si>
    <t>De 3 à 4 mètres</t>
  </si>
  <si>
    <t>De 6 à 7 mètres</t>
  </si>
  <si>
    <t>Vous êtes en poste dans un laboratoire. Vous constatez un déclenchement d’incendie. Dans le local se trouvent un extincteur rouge et un extincteur vert, lequel allez-vous utiliser pour éteindre le feu ?</t>
  </si>
  <si>
    <t>Rouge</t>
  </si>
  <si>
    <t>Vert</t>
  </si>
  <si>
    <t>Le rouge ou le vert, les 2 sont adaptés</t>
  </si>
  <si>
    <t>Aucun des deux</t>
  </si>
  <si>
    <t>Vous êtes en poste, les pompiers arrivent sur le site sinistré. Vous êtes informé que la voie d’accès principale est bloquée par un camion stationné. Que faites-vous en priorité ?</t>
  </si>
  <si>
    <t>J’appelle les personnels de l’usine, au point de rassemblement, pour déplacer le véhicule</t>
  </si>
  <si>
    <t>J’appelle la fourrière</t>
  </si>
  <si>
    <t>Je propose aux pompiers d’emprunter un autre accès qui est libre</t>
  </si>
  <si>
    <t>J’autorise les pompiers à pousser le camion, ils en ont l’obligation</t>
  </si>
  <si>
    <t>Lors de l’utilisation d’un véhicule muni d’un moteur</t>
  </si>
  <si>
    <t>À l’occasion de travaux par points chauds</t>
  </si>
  <si>
    <t>À la mise en place d’une zone fumeur</t>
  </si>
  <si>
    <t>Lors de la mise en fonctionnement du groupe électrogène</t>
  </si>
  <si>
    <t>Sur votre centrale incendie, un voyant rouge allumé signifie :</t>
  </si>
  <si>
    <t>Un dérangement ou une anomalie</t>
  </si>
  <si>
    <t>Que la centrale incendie est bien sous tension</t>
  </si>
  <si>
    <t>Une alarme incendie</t>
  </si>
  <si>
    <t>Que tout va bien dans l’établissement</t>
  </si>
  <si>
    <t>Comment agit un extincteur à eau sur le feu ?</t>
  </si>
  <si>
    <t>Par étouffement</t>
  </si>
  <si>
    <t>Par soufflement</t>
  </si>
  <si>
    <t>Par refroidissement</t>
  </si>
  <si>
    <t>Par inhibition</t>
  </si>
  <si>
    <t>Vous intervenez sur un feu d’armoire électrique. Quel extincteur utilisez-vous de préférence ?</t>
  </si>
  <si>
    <t>Un extincteur à poudre</t>
  </si>
  <si>
    <t>Un extincteur au CO₂</t>
  </si>
  <si>
    <t>Un extincteur à eau</t>
  </si>
  <si>
    <t>Une douche portative</t>
  </si>
  <si>
    <t>Une des causes de départ de feu peut être ?</t>
  </si>
  <si>
    <t>Les causes surnaturelles</t>
  </si>
  <si>
    <t>Les causes humaines</t>
  </si>
  <si>
    <t>Les causes législatives</t>
  </si>
  <si>
    <t>Les causes perdues</t>
  </si>
  <si>
    <t>Quelle est la fonction de l’E.C.S. ?</t>
  </si>
  <si>
    <t>De collecter les informations provenant des détecteurs volumétriques</t>
  </si>
  <si>
    <t>De mettre en sécurité le bâtiment</t>
  </si>
  <si>
    <t>De collecter les informations provenant des DAI et des DM</t>
  </si>
  <si>
    <t>De fournir de l’Eau Conditionnée Suffisante</t>
  </si>
  <si>
    <t>Le feu d’origine électrique est un feu de classe :</t>
  </si>
  <si>
    <t>À quoi sert l’alarme générale sélective ?</t>
  </si>
  <si>
    <t>À prévenir une catégorie de personnel</t>
  </si>
  <si>
    <t>À informer le PC pour effectuer une levée de doute</t>
  </si>
  <si>
    <t>À informer le directeur</t>
  </si>
  <si>
    <t>À informer les pompiers</t>
  </si>
  <si>
    <t>Qu’est-ce qui caractérise un extincteur à CO₂ ?</t>
  </si>
  <si>
    <t>Son manomètre</t>
  </si>
  <si>
    <t>Sa couleur</t>
  </si>
  <si>
    <t>Son tromblon</t>
  </si>
  <si>
    <t>Sa forme ronde</t>
  </si>
  <si>
    <t>Un extincteur au CO₂ est-il un extincteur à pression permanente ?</t>
  </si>
  <si>
    <t>Oui s’il est muni d’un densimètre</t>
  </si>
  <si>
    <t>Non il est rechargeable</t>
  </si>
  <si>
    <t>Vous êtes en poste au PC sécurité et une Alarme Incendie retentit :</t>
  </si>
  <si>
    <t>Vous arrêtez immédiatement le signal sonore et réarmez la zone. Ce n’est sûrement rien, comme d’habitude</t>
  </si>
  <si>
    <t>Vous fixez ce que vous faisiez. Vous agissez toujours le temps d’envoyer le rondier à son retour de ronde</t>
  </si>
  <si>
    <t>Vous contactez sur le champ votre collègue pour qu’il effectue immédiatement une levée de doute sur zone</t>
  </si>
  <si>
    <t>Vous appuyez sur l’évacuation générale pour être sûr que tout le monde évacue</t>
  </si>
  <si>
    <t>Quelle est la première action d’un APS lors d’un déclenchement d’une alarme incendie ?</t>
  </si>
  <si>
    <t>Faire une levée de doute</t>
  </si>
  <si>
    <t>Appeler les pompiers</t>
  </si>
  <si>
    <t>Arrêter le signal sonore</t>
  </si>
  <si>
    <t>Réarmer le SSI</t>
  </si>
  <si>
    <t>Combien de types de pressions différentes trouve-t-on sur un extincteur ?</t>
  </si>
  <si>
    <t>Aucun</t>
  </si>
  <si>
    <t>Une</t>
  </si>
  <si>
    <t>Deux</t>
  </si>
  <si>
    <t>Quatre</t>
  </si>
  <si>
    <t>En cas de départ de feu, quelle doit être l’attitude de l’agent de sécurité ?</t>
  </si>
  <si>
    <t>Tenter l’extinction du départ de feu</t>
  </si>
  <si>
    <t>Ouvrir les portes et les fenêtres avant d’évacuer</t>
  </si>
  <si>
    <t>Récupérer toutes mes affaires avant d’évacuer</t>
  </si>
  <si>
    <t>Attendre l’arrivée des pompiers pour évacuer</t>
  </si>
  <si>
    <t>Quel cas utilise-t-on de préférence un extincteur à eau pulvérisé ?</t>
  </si>
  <si>
    <t>Feu d’origine électrique</t>
  </si>
  <si>
    <t>Feu de poubelles</t>
  </si>
  <si>
    <t>Feu d’essence</t>
  </si>
  <si>
    <t>Feu de métaux</t>
  </si>
  <si>
    <t>Que désigne un E.R.P. ?</t>
  </si>
  <si>
    <t>Établissement Recevant le Président</t>
  </si>
  <si>
    <t>Établissement Recevant du Personnel</t>
  </si>
  <si>
    <t>Établissement Recevant du Public</t>
  </si>
  <si>
    <t>Établissement Recevant le Plus grand nombre</t>
  </si>
  <si>
    <t>Un extincteur au CO₂ est-il un extincteur à pression auxiliaire ?</t>
  </si>
  <si>
    <t>Oui s’il est muni d’un anémomètre</t>
  </si>
  <si>
    <t xml:space="preserve">Non </t>
  </si>
  <si>
    <t>Non s’il est rechargeable</t>
  </si>
  <si>
    <t>Qu’est-ce qu’un I.G.H. ?</t>
  </si>
  <si>
    <t>Immeuble de Groupement Habilité</t>
  </si>
  <si>
    <t>Installation de Grande Hauteur</t>
  </si>
  <si>
    <t>Installation Grandement Habilitée</t>
  </si>
  <si>
    <t>Immeuble de Grande Hauteur</t>
  </si>
  <si>
    <t>Un DAI à clé sollicité, comment se nomme l’alarme qui sonne au PCS ?</t>
  </si>
  <si>
    <t>Alarme intrusion</t>
  </si>
  <si>
    <t>Alarme restreinte</t>
  </si>
  <si>
    <t>Alarme générale sélective</t>
  </si>
  <si>
    <t>Alarme générale</t>
  </si>
  <si>
    <t>Quel élément fait partie du triangle du feu ?</t>
  </si>
  <si>
    <t>Le refroidissement</t>
  </si>
  <si>
    <t>La combustion</t>
  </si>
  <si>
    <t>La conduction</t>
  </si>
  <si>
    <t>Le comburant</t>
  </si>
  <si>
    <t>Combien y a-t-il de classes de feu ?</t>
  </si>
  <si>
    <t>Cinq</t>
  </si>
  <si>
    <t>Six</t>
  </si>
  <si>
    <t>Quelle est la distance d’attaque préconisée d’un extincteur à eau ?</t>
  </si>
  <si>
    <t>Vous effectuez une ronde, un ouvrier d’une société extérieure réalise des travaux par points chauds. À priori, vous n’avez ni consignes, ni permis feu. Que faites-vous ?</t>
  </si>
  <si>
    <t>Je contacte le PC sécurité pour demander la conduite à tenir</t>
  </si>
  <si>
    <t>Je passe mon chemin pour laisser l’ouvrier faire son travail</t>
  </si>
  <si>
    <t>Je contacte le PCS pour vérification et selon consigne je fais cesser les travaux</t>
  </si>
  <si>
    <t>Je verbalise l’ouvrier contrevenant</t>
  </si>
  <si>
    <t>Lors de la mise en place d’un permis feu, quelles consignes sont importantes à confier à l’exécutant ?</t>
  </si>
  <si>
    <t>Aveugler les ouvertures, interstices, fissures, …</t>
  </si>
  <si>
    <t>Dégager largement la zone de travail de tout matériel combustible ou inflammable</t>
  </si>
  <si>
    <t>Prendre toute disposition pour éviter le déclenchement du système de détection incendie</t>
  </si>
  <si>
    <t>Surveiller les projections incandescentes et les points de chute pendant le travail</t>
  </si>
  <si>
    <t>Est-il possible qu’un feu s’éteigne en supprimant un des éléments du triangle du feu ?</t>
  </si>
  <si>
    <t>Oui si les conditions météorologiques sont favorables</t>
  </si>
  <si>
    <t>Non, sans le savoir-faire d’un expert métier</t>
  </si>
  <si>
    <t xml:space="preserve">En cas de départ de feu, quelle doit être l’attitude des occupants ? </t>
  </si>
  <si>
    <t>Fermer les portes et les fenêtres en évacuant</t>
  </si>
  <si>
    <t>Quels sont les éléments indispensables à la combustion ?</t>
  </si>
  <si>
    <t>Une propagation, un carburant, un combustible</t>
  </si>
  <si>
    <t>Du liquide, du vent, du carburant</t>
  </si>
  <si>
    <t>Un combustible, un comburant, une énergie d’activation</t>
  </si>
  <si>
    <t>Un vent, une étincelle, une matière inflammable</t>
  </si>
  <si>
    <t xml:space="preserve">Que signifie le terme R.I.A. ? </t>
  </si>
  <si>
    <t>Robinet d’intervention alimenté</t>
  </si>
  <si>
    <t>Robinet d’incident arrimé</t>
  </si>
  <si>
    <t>Robinet d’incident armé</t>
  </si>
  <si>
    <t>Robinet d’incendie armé</t>
  </si>
  <si>
    <t>L’air est composé environ à 21% :</t>
  </si>
  <si>
    <t>D’azote</t>
  </si>
  <si>
    <t>D’oxygène</t>
  </si>
  <si>
    <t>De dioxyde de carbone</t>
  </si>
  <si>
    <t>De gaz rares</t>
  </si>
  <si>
    <t>La classe de feu F concerne :</t>
  </si>
  <si>
    <t>Les feux de forêts</t>
  </si>
  <si>
    <t>Les feux de dépôt graisseux servant d’auxiliaires de cuisson</t>
  </si>
  <si>
    <t>Les feux de liquides incombustibles</t>
  </si>
  <si>
    <t>Rien car cette classe n’existe pas</t>
  </si>
  <si>
    <t>Vous effectuez une ronde, un ouvrier d’une société extérieure réalise des travaux par points chauds. Vous n’avez ni consigne, ni permis feu. Que faites-vous ?</t>
  </si>
  <si>
    <t>Je fais cesser immédiatement les travaux avant de prendre des renseignements auprès du PC sécurité</t>
  </si>
  <si>
    <t>Les travaux par points chauds ont lieu dans votre établissement. Le service de sécurité quitte l’établissement qui n’est donc plus sous sa surveillance à partir de 21h. À quelle heure maximum les travaux doivent-ils cesser ?</t>
  </si>
  <si>
    <t>17h</t>
  </si>
  <si>
    <t>18h</t>
  </si>
  <si>
    <t>19h</t>
  </si>
  <si>
    <t>20h</t>
  </si>
  <si>
    <t>Toutes ces consignes sont à prendre en compte</t>
  </si>
  <si>
    <t>21h</t>
  </si>
  <si>
    <t>38</t>
  </si>
  <si>
    <t>39</t>
  </si>
  <si>
    <t>40</t>
  </si>
  <si>
    <r>
      <t>1 – Quel est le seuil fixé par le Code de la Sécurité Intérieure, concernant l’obligation de palpation de sécurité des manifestations ?</t>
    </r>
    <r>
      <rPr>
        <sz val="11"/>
        <color theme="1"/>
        <rFont val="Arial"/>
        <family val="2"/>
      </rPr>
      <t>|Pour l’accès aux enceintes dans lesquelles est organisée une manifestation, rassemblant moins de 300 spectateurs|Pour l’accès aux enceintes dans lesquelles sont organisées des manifestations rassemblant plus de 300 spectateurs|Pour l’accès aux enceintes dans lesquelles est organisée une manifestation rassemblant de 150 à 200 spectateurs|Pour l’accès aux enceintes dans lesquelles est organisée une manifestation rassemblant plus de 1500 spectateurs|Aucune des autres réponses</t>
    </r>
  </si>
  <si>
    <r>
      <t>2 – Quelles sont les méthodes pour les agents féminins pour effectuer des vérifications de sécurité sur des hommes qui sont au contrôle d’accès :</t>
    </r>
    <r>
      <rPr>
        <sz val="11"/>
        <color theme="1"/>
        <rFont val="Arial"/>
        <family val="2"/>
      </rPr>
      <t>|La fouille à corps uniquement avec le consentement de la personne|La fouille au corps|L’utilisation du magnétomètre|Les palpations de sécurité|Aucune des autres réponses</t>
    </r>
  </si>
  <si>
    <r>
      <t>3 – Qu’est-ce qu’une palpation de sécurité ?</t>
    </r>
    <r>
      <rPr>
        <sz val="11"/>
        <color theme="1"/>
        <rFont val="Arial"/>
        <family val="2"/>
      </rPr>
      <t>|Le fait d’appliquer les mains par-dessus les vêtements d’une personne afin de déceler tout objet interdit ou susceptible d’être dangereux pour autrui|Le fait de chercher dans les poches des vêtements d’un individu une arme ou tout objet dangereux|Le fait de vérifier sur les membres d’une victime l’absence de saignement|Le fait de mettre les mains dans un sac pour vérifier l’absence de tout objet interdit ou susceptible d’être dangereux pour autrui|Aucune des autres réponses</t>
    </r>
  </si>
  <si>
    <r>
      <t>4 – D’après le Code de la Sécurité Intérieure, quelles conditions devez-vous respecter pour effectuer une palpation de sécurité lorsqu’un périmètre de protection a été institué ?</t>
    </r>
    <r>
      <rPr>
        <sz val="11"/>
        <color theme="1"/>
        <rFont val="Arial"/>
        <family val="2"/>
      </rPr>
      <t>|Détenir l’agrément du préfet et effectuer la palpation sur une personne de même sexe avec son accord|Détenir l’agrément du préfet, l’habilitation de l’employeur et effectuer la palpation sur n’importe quelle personne|Détenir l’agrément du préfet|Être désigné par son employeur pour effectuer la palpation sur une personne de même sexe avec son accord et sous la responsabilité d’un OPJ|Aucune des autres réponses</t>
    </r>
  </si>
  <si>
    <r>
      <t>5 – Suite à une appréhension en flagrant délit pour vol, je vois que l’individu possède un couteau dans sa poche de blouson. Que dois-je faire ?</t>
    </r>
    <r>
      <rPr>
        <sz val="11"/>
        <color theme="1"/>
        <rFont val="Arial"/>
        <family val="2"/>
      </rPr>
      <t>|Je menotte l’individu pour qu’il ne puisse faire usage de son arme|Je peux saisir d’autorité l’arme par mesure de sécurité|Je ne peux pas saisir d’autorité l’arme car ce serait assimilé à une réquisition|Je demande à l’individu de bien vouloir poser délicatement et en sécurité le couteau au sol|Aucune des autres réponses</t>
    </r>
  </si>
  <si>
    <r>
      <t>6 – Lors de palpations de sécurité en vue d’accéder aux manifestations, la formulation « sous le contrôle d’un OPJ » signifie :</t>
    </r>
    <r>
      <rPr>
        <sz val="11"/>
        <color theme="1"/>
        <rFont val="Arial"/>
        <family val="2"/>
      </rPr>
      <t>|Qu’un OPJ peut désigner un Agent de Police Judiciaire adjoint pour le représenter|Qu’un nombre d’OPJ proportionné au nombre d’agents doit être présent|Qu’un OPJ doit être obligatoirement présent sur les lieux de la manifestation|La désignation d’un OPJ par le Préfet et sa situation d’astreinte|Aucune des autres réponses</t>
    </r>
  </si>
  <si>
    <r>
      <t>7 – Les consignes vous demandent d’effectuer des palpations lors d’une manifestation artistique réunissant plus de 20 000 personnes, que faites-vous ?</t>
    </r>
    <r>
      <rPr>
        <sz val="11"/>
        <color theme="1"/>
        <rFont val="Arial"/>
        <family val="2"/>
      </rPr>
      <t>|Vous lui demandez s’il a une autorisation préfectorale|Vous lui demandez s’il dispose d’une autorisation du CNAPS en cas de circonstances exceptionnelles|Vous acceptez car votre employeur a engagé sa responsabilité et que ces palpations s’effectuent sous le contrôle d’un OPJ|Vous rappelez que vous n’avez pas d’agrément du CNAPS et que vous n’avez pas le droit de le faire|Aucune des autres réponses</t>
    </r>
  </si>
  <si>
    <r>
      <t>8 – Pour procéder à des palpations de sécurité dans les enceintes de manifestations sportives, les employés des entreprises de surveillance et de gardiennage doivent :</t>
    </r>
    <r>
      <rPr>
        <sz val="11"/>
        <color theme="1"/>
        <rFont val="Arial"/>
        <family val="2"/>
      </rPr>
      <t>|Rien est nécessaire hormis être désigné par son employeur|Avoir été habilités par leur employeur puis agréés par le préfet du département|Avoir été habilités par leur employeur puis agréés par la C.L.A.C.|Avoir été agréés par la commission internationale suite à l’envoi d’un dossier par l’organisateur de la manifestation|Aucune des autres réponses</t>
    </r>
  </si>
  <si>
    <t>Quel est le seuil fixé par le Code de la Sécurité Intérieure, concernant l’obligation de palpation de sécurité des manifestations ?</t>
  </si>
  <si>
    <t>Pour l’accès aux enceintes dans lesquelles est organisée une manifestation, rassemblant moins de 300 spectateurs</t>
  </si>
  <si>
    <t>Pour l’accès aux enceintes dans lesquelles sont organisées des manifestations rassemblant plus de 300 spectateurs</t>
  </si>
  <si>
    <t>Pour l’accès aux enceintes dans lesquelles est organisée une manifestation rassemblant de 150 à 200 spectateurs</t>
  </si>
  <si>
    <t>Pour l’accès aux enceintes dans lesquelles est organisée une manifestation rassemblant plus de 1500 spectateurs</t>
  </si>
  <si>
    <t>Quelles sont les méthodes pour les agents féminins pour effectuer des vérifications de sécurité sur des hommes qui sont au contrôle d’accès :</t>
  </si>
  <si>
    <t>La fouille à corps uniquement avec le consentement de la personne</t>
  </si>
  <si>
    <t>La fouille au corps</t>
  </si>
  <si>
    <t>L’utilisation du magnétomètre</t>
  </si>
  <si>
    <t>Les palpations de sécurité</t>
  </si>
  <si>
    <t>Qu’est-ce qu’une palpation de sécurité ?</t>
  </si>
  <si>
    <t>Le fait d’appliquer les mains par-dessus les vêtements d’une personne afin de déceler tout objet interdit ou susceptible d’être dangereux pour autrui</t>
  </si>
  <si>
    <t>Le fait de chercher dans les poches des vêtements d’un individu une arme ou tout objet dangereux</t>
  </si>
  <si>
    <t>Le fait de vérifier sur les membres d’une victime l’absence de saignement</t>
  </si>
  <si>
    <t>Le fait de mettre les mains dans un sac pour vérifier l’absence de tout objet interdit ou susceptible d’être dangereux pour autrui</t>
  </si>
  <si>
    <t>D’après le Code de la Sécurité Intérieure, quelles conditions devez-vous respecter pour effectuer une palpation de sécurité lorsqu’un périmètre de protection a été institué ?</t>
  </si>
  <si>
    <t>Détenir l’agrément du préfet et effectuer la palpation sur une personne de même sexe avec son accord</t>
  </si>
  <si>
    <t>Détenir l’agrément du préfet, l’habilitation de l’employeur et effectuer la palpation sur n’importe quelle personne</t>
  </si>
  <si>
    <t>Détenir l’agrément du préfet</t>
  </si>
  <si>
    <t>Être désigné par son employeur pour effectuer la palpation sur une personne de même sexe avec son accord et sous la responsabilité d’un OPJ</t>
  </si>
  <si>
    <t>Suite à une appréhension en flagrant délit pour vol, je vois que l’individu possède un couteau dans sa poche de blouson. Que dois-je faire ?</t>
  </si>
  <si>
    <t>Je menotte l’individu pour qu’il ne puisse faire usage de son arme</t>
  </si>
  <si>
    <t>Je peux saisir d’autorité l’arme par mesure de sécurité</t>
  </si>
  <si>
    <t>Je ne peux pas saisir d’autorité l’arme car ce serait assimilé à une réquisition</t>
  </si>
  <si>
    <t>Je demande à l’individu de bien vouloir poser délicatement et en sécurité le couteau au sol</t>
  </si>
  <si>
    <t>Lors de palpations de sécurité en vue d’accéder aux manifestations, la formulation « sous le contrôle d’un OPJ » signifie :</t>
  </si>
  <si>
    <t>Qu’un OPJ peut désigner un Agent de Police Judiciaire adjoint pour le représenter</t>
  </si>
  <si>
    <t>Qu’un nombre d’OPJ proportionné au nombre d’agents doit être présent</t>
  </si>
  <si>
    <t>Qu’un OPJ doit être obligatoirement présent sur les lieux de la manifestation</t>
  </si>
  <si>
    <t>La désignation d’un OPJ par le Préfet et sa situation d’astreinte</t>
  </si>
  <si>
    <t>Les consignes vous demandent d’effectuer des palpations lors d’une manifestation artistique réunissant plus de 20 000 personnes, que faites-vous ?</t>
  </si>
  <si>
    <t>Vous lui demandez s’il a une autorisation préfectorale</t>
  </si>
  <si>
    <t>Vous lui demandez s’il dispose d’une autorisation du CNAPS en cas de circonstances exceptionnelles</t>
  </si>
  <si>
    <t>Vous acceptez car votre employeur a engagé sa responsabilité et que ces palpations s’effectuent sous le contrôle d’un OPJ</t>
  </si>
  <si>
    <t>Vous rappelez que vous n’avez pas d’agrément du CNAPS et que vous n’avez pas le droit de le faire</t>
  </si>
  <si>
    <t>Pour procéder à des palpations de sécurité dans les enceintes de manifestations sportives, les employés des entreprises de surveillance et de gardiennage doivent :</t>
  </si>
  <si>
    <t>Rien est nécessaire hormis être désigné par son employeur</t>
  </si>
  <si>
    <t>Avoir été habilités par leur employeur puis agréés par le préfet du département</t>
  </si>
  <si>
    <t>Avoir été habilités par leur employeur puis agréés par la C.L.A.C.</t>
  </si>
  <si>
    <t>Avoir été agréés par la commission internationale suite à l’envoi d’un dossier par l’organisateur de la manifestation</t>
  </si>
  <si>
    <r>
      <t xml:space="preserve">        </t>
    </r>
    <r>
      <rPr>
        <sz val="12"/>
        <color theme="1"/>
        <rFont val="Arial"/>
        <family val="2"/>
      </rPr>
      <t>1 - La CNIL est :</t>
    </r>
    <r>
      <rPr>
        <sz val="11"/>
        <color theme="1"/>
        <rFont val="Arial"/>
        <family val="2"/>
      </rPr>
      <t>|La Commission Nationale des Instances de Liberté|La Commission Nationale de l’Informatique et des Libertés|Le Conseil National sur l’Informatique et des Libertés|Le Comité National des Institutions pour les Libertés|Aucune des autres réponses</t>
    </r>
  </si>
  <si>
    <r>
      <t xml:space="preserve">        </t>
    </r>
    <r>
      <rPr>
        <sz val="11"/>
        <color theme="1"/>
        <rFont val="Arial"/>
        <family val="2"/>
      </rPr>
      <t>2 - Quel est l’un des rôles de la CNIL ?|Autoriser le port d’armes numériques|Délivrer les cartes d’agrément vidéo protecteur|Lutter contre la Cyberdéfense|Protéger la vie privée et les libertés publiques|Aucune des autres réponses</t>
    </r>
  </si>
  <si>
    <r>
      <t xml:space="preserve">        </t>
    </r>
    <r>
      <rPr>
        <sz val="11"/>
        <color theme="1"/>
        <rFont val="Arial"/>
        <family val="2"/>
      </rPr>
      <t>3 - Un agent rondier me demande de supprimer des images du système de télésurveillance correspondant à son arrivée en retard sur le site :|Étant un bon collègue de travail, sérieux et apprécié de tous, je le fais sans aucun problème|Aucun incident n’ayant été relevé à cet instant, je ne fais que libérer un peu de place sur le disque dur du serveur de stockage|Je le lui laisse faire, ne souhaitant pas être impliqué dans cette action|Je n’ai pas le droit de le faire, risquant des poursuites pénales et disciplinaires|Aucune des autres réponses</t>
    </r>
  </si>
  <si>
    <r>
      <t xml:space="preserve">        </t>
    </r>
    <r>
      <rPr>
        <sz val="11"/>
        <color theme="1"/>
        <rFont val="Arial"/>
        <family val="2"/>
      </rPr>
      <t>4 - Vous êtes agent au PCS et équipé d’un système de vidéoprotection :|Vous vérifiez à la prise de service le bon fonctionnement des caméras conformément aux consignes|Vous ne vous servirez des caméras qu’en cas d’intrusion, quelles que soient les consignes|Vous n’êtes pas habilité à vous servir de ce système n’ayant pas d’autorisation du CNAPS spécifique|Vous garderez chaque jour des copies d’images ou vidéos pour vous prémunir de tout reproche futur|Aucune des autres réponses</t>
    </r>
  </si>
  <si>
    <r>
      <t xml:space="preserve">        </t>
    </r>
    <r>
      <rPr>
        <sz val="11"/>
        <color theme="1"/>
        <rFont val="Arial"/>
        <family val="2"/>
      </rPr>
      <t>5 - Quelle est la principale différence entre une caméra IP et une caméra analogique ?|La façon dont le signal est transmis|La durée de vie de la caméra|La taille de l’image et sa précision|La possibilité de distinguer le visage des personnes observées|Aucune des autres réponses</t>
    </r>
  </si>
  <si>
    <r>
      <t xml:space="preserve">        </t>
    </r>
    <r>
      <rPr>
        <sz val="11"/>
        <color theme="1"/>
        <rFont val="Arial"/>
        <family val="2"/>
      </rPr>
      <t>6 - Dans lequel de ces textes la vidéoprotection est-elle encadrée ?|Le guide APSAD des installations Electroniques|Le Décret 2014-007 du 20 février 2014|La partie Législative du livre VI du Code de la Sécurité Intérieure|La Convention Collective Nationale Prévention et Sécurité|Aucune des autres réponses</t>
    </r>
  </si>
  <si>
    <r>
      <t xml:space="preserve">        </t>
    </r>
    <r>
      <rPr>
        <sz val="11"/>
        <color theme="1"/>
        <rFont val="Arial"/>
        <family val="2"/>
      </rPr>
      <t>7 - Agent de vidéosurveillance sur un site en journée, vous repérez un individu au visage dissimulé dans un local sensible à accès réglementé, que faites-vous ?|Je déclenche l’alarme générale d’évacuation des bâtiments|J’effectue la levée de doute immédiatement pour appréhender l’individu|J’informe immédiatement le responsable sécurité du site conformément aux consignes|J’appelle les forces de l’ordre sans plus attendre|Aucune des autres réponses</t>
    </r>
  </si>
  <si>
    <r>
      <t xml:space="preserve">        </t>
    </r>
    <r>
      <rPr>
        <sz val="11"/>
        <color theme="1"/>
        <rFont val="Arial"/>
        <family val="2"/>
      </rPr>
      <t>8 - Rondier d’astreinte à votre domicile, le télésurveilleur vous contacte la nuit suite à un déclenchement d’alarme intrusion chez un client: que faites-vous ?|Je mets à jour l’outil de main courante électronique et attend les consignes|J’envoie les forces de l’ordre pour effectuer la levée de doute, n’étant pas habilité|Je pense qu’il s’agit d’un dysfonctionnement et économise une ronde inutile à mon entreprise, j’irai demain à la première heure de ma prise de fonction|Je donne mon mot de passe pour m’authentifier et me rends sur place pour effectuer la levée de doute|Aucune des autres réponses</t>
    </r>
  </si>
  <si>
    <r>
      <t xml:space="preserve">        </t>
    </r>
    <r>
      <rPr>
        <sz val="11"/>
        <color theme="1"/>
        <rFont val="Arial"/>
        <family val="2"/>
      </rPr>
      <t>9 - Quel équipement fait partie d’un système de vidéosurveillance|La caméra|L’appareil photo|Le caméscope|Le magnétophone|Aucune des autres réponses</t>
    </r>
  </si>
  <si>
    <r>
      <t xml:space="preserve">        </t>
    </r>
    <r>
      <rPr>
        <sz val="11"/>
        <color theme="1"/>
        <rFont val="Arial"/>
        <family val="2"/>
      </rPr>
      <t>10 - Un système de vidéoprotection peut proposer plusieurs types de caméras :|Des caméras fixes|Des caméras à vision nocturne|Des caméras à 360°|Des caméras à lecture de plaques minéralogiques|Toutes les réponses précédentes sont exactes</t>
    </r>
  </si>
  <si>
    <r>
      <t xml:space="preserve">        </t>
    </r>
    <r>
      <rPr>
        <sz val="11"/>
        <color theme="1"/>
        <rFont val="Arial"/>
        <family val="2"/>
      </rPr>
      <t>11 - Quelle est la composition de la chaîne de télésécurité ?|Observation - Réglementation - Validation - Action|Détection - Transmission - Réception - Traitement - Intervention|Veille - Repérage - Preuve - Formalisation|Déclenchement - Levée de doute - Police - Main courante|Aucune des autres réponses</t>
    </r>
  </si>
  <si>
    <r>
      <t xml:space="preserve">        </t>
    </r>
    <r>
      <rPr>
        <sz val="11"/>
        <color theme="1"/>
        <rFont val="Arial"/>
        <family val="2"/>
      </rPr>
      <t>12 - Constitue une infraction d’atteinte aux systèmes de traitement automatisé des données, le fait : |D’introduire un virus informatique dans un système de données informatiques|De modifier des données informatiques|D’accéder frauduleusement à des données informatiques|De supprimer des données informatiques|Toutes les réponses précédentes sont exactes</t>
    </r>
  </si>
  <si>
    <r>
      <t xml:space="preserve">        </t>
    </r>
    <r>
      <rPr>
        <sz val="11"/>
        <color theme="1"/>
        <rFont val="Arial"/>
        <family val="2"/>
      </rPr>
      <t>13 - Toute personne intéressée peut-elle demander d’avoir accès aux enregistrements de vidéosurveillance qui la concerne et de demander sa destruction ?|Oui après avoir fait la demande auprès du Préfet|Oui, sauf si le refus est justifié par les conditions fixées par la loi|Non, car les enregistrements doivent rester toujours confidentiels|Non, car seuls les opérateurs publics peuvent visionner des images privées|Aucune des autres réponses</t>
    </r>
  </si>
  <si>
    <r>
      <t xml:space="preserve">        </t>
    </r>
    <r>
      <rPr>
        <sz val="11"/>
        <color theme="1"/>
        <rFont val="Arial"/>
        <family val="2"/>
      </rPr>
      <t>14 - Le responsable logistique du site vous demande de visionner des images de vidéosurveillance enregistrées relatives à un salarié de sa société, que faites-vous ?|Je n’ai pas le droit de le faire mais donne le fichier vidéo au responsable du site client|Je refuse de le faire mais informe mon responsable de cette de demande|J’accepte de le faire si les faits sont graves et avérés|Je refuse de le faire sans l’accord au moins oral du CNAPS|Aucune des autres réponses</t>
    </r>
  </si>
  <si>
    <r>
      <t xml:space="preserve">        </t>
    </r>
    <r>
      <rPr>
        <sz val="11"/>
        <color theme="1"/>
        <rFont val="Arial"/>
        <family val="2"/>
      </rPr>
      <t>15 - Le fait d’accéder frauduleusement à des données informatiques issues d’images de vidéosurveillance constitue l’infraction de :|Vol de données informatiques|Atteintes aux systèmes de traitement automatisé de données|Entrave à la libre circulation de biens et des données|Dégradation ou détérioration d’uns système de traitement de données informatiques|Aucune des autres réponses</t>
    </r>
  </si>
  <si>
    <r>
      <t xml:space="preserve">        </t>
    </r>
    <r>
      <rPr>
        <sz val="11"/>
        <color theme="1"/>
        <rFont val="Arial"/>
        <family val="2"/>
      </rPr>
      <t>16 - Un agent SSIAP vient au PC de vidéosurveillance vous demander de lui montrer des images d’un bâtiment pour contrôler la présence des extincteurs trop éloignés, que faites-vous ?|J’accepte car il s’agit de risque d’incendie|J’accepte car le site est calme et si aucun risque potentiel n’est prévisible à cet instant|Je refuse, le système n’est pas fait pour cela|Je refuse sans avoir un document écrit du client|Aucune des autres réponses</t>
    </r>
  </si>
  <si>
    <r>
      <t xml:space="preserve">        </t>
    </r>
    <r>
      <rPr>
        <sz val="11"/>
        <color theme="1"/>
        <rFont val="Arial"/>
        <family val="2"/>
      </rPr>
      <t>17 - Quels sont les faits autorisés et donc non passibles de poursuites en matière d'utilisation d’images de vidéoprotection ?|Le fait de falsifier des enregistrements|Le fait de permettre leur accès à des personnes non habilitées|Le fait de ne conserver que les images que pendant un mois au maximum sauf procédure judiciaire en cours|Le fait d’utiliser des images à d’autres fins que celles autorisées|Aucune des autres réponses</t>
    </r>
  </si>
  <si>
    <r>
      <t xml:space="preserve">        </t>
    </r>
    <r>
      <rPr>
        <sz val="11"/>
        <color theme="1"/>
        <rFont val="Arial"/>
        <family val="2"/>
      </rPr>
      <t>18 - Toute personne peut-elle demander d’avoir accès aux enregistrements de vidéosurveillance qui la concerne ?|Oui car cet accès est de droit, sous certaines conditions|Oui après en avoir fait la demande auprès du Préfet|Selon le bon-vouloir du responsable de l’installation de vidéosurveillance car il n’est pas obligé de le faire|Non car les enregistrements restent toujours confidentiels|Aucune des autres réponses</t>
    </r>
  </si>
  <si>
    <r>
      <t xml:space="preserve">        </t>
    </r>
    <r>
      <rPr>
        <sz val="11"/>
        <color theme="1"/>
        <rFont val="Arial"/>
        <family val="2"/>
      </rPr>
      <t>19 - Le contrôle d’accès électronique est :|Un système de sécurité permettant de détecter les personnes au comportement suspect|Un système de sécurité permettant de ne faire que des identifications|Un système de sécurité empêchant l’accès à des personnes autorisées|Un système de sécurité permettant d’autoriser des personnes déterminées|Aucune des autres réponses</t>
    </r>
  </si>
  <si>
    <r>
      <t xml:space="preserve">        </t>
    </r>
    <r>
      <rPr>
        <sz val="11"/>
        <color theme="1"/>
        <rFont val="Arial"/>
        <family val="2"/>
      </rPr>
      <t>20 - Le schéma d’installation de la vidéoprotection permet :|De capter, de transmettre, de stocker, de visionner les images|D’installer, de maintenir et de mettre à disposition des prestataires des images|De compléter le système de surveillance incendie|De garantir aux forces de l’ordre la bonne réalisation de la mission de sûreté|Aucune des autres réponses</t>
    </r>
  </si>
  <si>
    <t>Dans quel cas doit-on rédiger un permis de feu ?</t>
  </si>
  <si>
    <t>La CNIL est :</t>
  </si>
  <si>
    <t>La Commission Nationale des Instances de Liberté</t>
  </si>
  <si>
    <t>La Commission Nationale de l’Informatique et des Libertés</t>
  </si>
  <si>
    <t>Le Conseil National sur l’Informatique et des Libertés</t>
  </si>
  <si>
    <t>Le Comité National des Institutions pour les Libertés</t>
  </si>
  <si>
    <t>Quel est l’un des rôles de la CNIL ?</t>
  </si>
  <si>
    <t>Autoriser le port d’armes numériques</t>
  </si>
  <si>
    <t>Délivrer les cartes d’agrément vidéo protecteur</t>
  </si>
  <si>
    <t>Lutter contre la Cyberdéfense</t>
  </si>
  <si>
    <t>Protéger la vie privée et les libertés publiques</t>
  </si>
  <si>
    <t>Un agent rondier me demande de supprimer des images du système de télésurveillance correspondant à son arrivée en retard sur le site :</t>
  </si>
  <si>
    <t>Étant un bon collègue de travail, sérieux et apprécié de tous, je le fais sans aucun problème</t>
  </si>
  <si>
    <t>Aucun incident n’ayant été relevé à cet instant, je ne fais que libérer un peu de place sur le disque dur du serveur de stockage</t>
  </si>
  <si>
    <t>Je le lui laisse faire, ne souhaitant pas être impliqué dans cette action</t>
  </si>
  <si>
    <t>Je n’ai pas le droit de le faire, risquant des poursuites pénales et disciplinaires</t>
  </si>
  <si>
    <t>Vous êtes agent au PCS et équipé d’un système de vidéoprotection :</t>
  </si>
  <si>
    <t>Vous vérifiez à la prise de service le bon fonctionnement des caméras conformément aux consignes</t>
  </si>
  <si>
    <t>Vous ne vous servirez des caméras qu’en cas d’intrusion, quelles que soient les consignes</t>
  </si>
  <si>
    <t>Vous n’êtes pas habilité à vous servir de ce système n’ayant pas d’autorisation du CNAPS spécifique</t>
  </si>
  <si>
    <t>Vous garderez chaque jour des copies d’images ou vidéos pour vous prémunir de tout reproche futur</t>
  </si>
  <si>
    <t>Quelle est la principale différence entre une caméra IP et une caméra analogique ?</t>
  </si>
  <si>
    <t>La façon dont le signal est transmis</t>
  </si>
  <si>
    <t>La durée de vie de la caméra</t>
  </si>
  <si>
    <t>La taille de l’image et sa précision</t>
  </si>
  <si>
    <t>La possibilité de distinguer le visage des personnes observées</t>
  </si>
  <si>
    <t>Dans lequel de ces textes la vidéoprotection est-elle encadrée ?</t>
  </si>
  <si>
    <t>Le guide APSAD des installations Electroniques</t>
  </si>
  <si>
    <t>Le Décret 2014-007 du 20 février 2014</t>
  </si>
  <si>
    <t>La partie Législative du livre VI du Code de la Sécurité Intérieure</t>
  </si>
  <si>
    <t>La Convention Collective Nationale Prévention et Sécurité</t>
  </si>
  <si>
    <t>Agent de vidéosurveillance sur un site en journée, vous repérez un individu au visage dissimulé dans un local sensible à accès réglementé, que faites-vous ?</t>
  </si>
  <si>
    <t>Je déclenche l’alarme générale d’évacuation des bâtiments</t>
  </si>
  <si>
    <t>J’effectue la levée de doute immédiatement pour appréhender l’individu</t>
  </si>
  <si>
    <t>J’informe immédiatement le responsable sécurité du site conformément aux consignes</t>
  </si>
  <si>
    <t>J’appelle les forces de l’ordre sans plus attendre</t>
  </si>
  <si>
    <t>Rondier d’astreinte à votre domicile, le télésurveilleur vous contacte la nuit suite à un déclenchement d’alarme intrusion chez un client: que faites-vous ?</t>
  </si>
  <si>
    <t>Je mets à jour l’outil de main courante électronique et attend les consignes</t>
  </si>
  <si>
    <t>J’envoie les forces de l’ordre pour effectuer la levée de doute, n’étant pas habilité</t>
  </si>
  <si>
    <t>Je pense qu’il s’agit d’un dysfonctionnement et économise une ronde inutile à mon entreprise, j’irai demain à la première heure de ma prise de fonction</t>
  </si>
  <si>
    <t>Je donne mon mot de passe pour m’authentifier et me rends sur place pour effectuer la levée de doute</t>
  </si>
  <si>
    <t>Quel équipement fait partie d’un système de vidéosurveillance</t>
  </si>
  <si>
    <t>La caméra</t>
  </si>
  <si>
    <t>L’appareil photo</t>
  </si>
  <si>
    <t>Le caméscope</t>
  </si>
  <si>
    <t>Le magnétophone</t>
  </si>
  <si>
    <t>Un système de vidéoprotection peut proposer plusieurs types de caméras :</t>
  </si>
  <si>
    <t>Des caméras fixes</t>
  </si>
  <si>
    <t>Des caméras à vision nocturne</t>
  </si>
  <si>
    <t>Des caméras à 360°</t>
  </si>
  <si>
    <t>Des caméras à lecture de plaques minéralogiques</t>
  </si>
  <si>
    <t>Quelle est la composition de la chaîne de télésécurité ?</t>
  </si>
  <si>
    <t>Observation - Réglementation - Validation - Action</t>
  </si>
  <si>
    <t>Détection - Transmission - Réception - Traitement - Intervention</t>
  </si>
  <si>
    <t>Veille - Repérage - Preuve - Formalisation</t>
  </si>
  <si>
    <t>Déclenchement - Levée de doute - Police - Main courante</t>
  </si>
  <si>
    <t xml:space="preserve">Constitue une infraction d’atteinte aux systèmes de traitement automatisé des données, le fait : </t>
  </si>
  <si>
    <t>D’introduire un virus informatique dans un système de données informatiques</t>
  </si>
  <si>
    <t>De modifier des données informatiques</t>
  </si>
  <si>
    <t>D’accéder frauduleusement à des données informatiques</t>
  </si>
  <si>
    <t>De supprimer des données informatiques</t>
  </si>
  <si>
    <t>Toute personne intéressée peut-elle demander d’avoir accès aux enregistrements de vidéosurveillance qui la concerne et de demander sa destruction ?</t>
  </si>
  <si>
    <t>Oui après avoir fait la demande auprès du Préfet</t>
  </si>
  <si>
    <t>Oui, sauf si le refus est justifié par les conditions fixées par la loi</t>
  </si>
  <si>
    <t>Non, car les enregistrements doivent rester toujours confidentiels</t>
  </si>
  <si>
    <t>Non, car seuls les opérateurs publics peuvent visionner des images privées</t>
  </si>
  <si>
    <t>Le responsable logistique du site vous demande de visionner des images de vidéosurveillance enregistrées relatives à un salarié de sa société, que faites-vous ?</t>
  </si>
  <si>
    <t>Je n’ai pas le droit de le faire mais donne le fichier vidéo au responsable du site client</t>
  </si>
  <si>
    <t>Je refuse de le faire mais informe mon responsable de cette de demande</t>
  </si>
  <si>
    <t>J’accepte de le faire si les faits sont graves et avérés</t>
  </si>
  <si>
    <t>Je refuse de le faire sans l’accord au moins oral du CNAPS</t>
  </si>
  <si>
    <t>Le fait d’accéder frauduleusement à des données informatiques issues d’images de vidéosurveillance constitue l’infraction de :</t>
  </si>
  <si>
    <t>Vol de données informatiques</t>
  </si>
  <si>
    <t>Atteintes aux systèmes de traitement automatisé de données</t>
  </si>
  <si>
    <t>Entrave à la libre circulation de biens et des données</t>
  </si>
  <si>
    <t>Dégradation ou détérioration d’uns système de traitement de données informatiques</t>
  </si>
  <si>
    <t>Un agent SSIAP vient au PC de vidéosurveillance vous demander de lui montrer des images d’un bâtiment pour contrôler la présence des extincteurs trop éloignés, que faites-vous ?</t>
  </si>
  <si>
    <t>J’accepte car il s’agit de risque d’incendie</t>
  </si>
  <si>
    <t>J’accepte car le site est calme et si aucun risque potentiel n’est prévisible à cet instant</t>
  </si>
  <si>
    <t>Je refuse, le système n’est pas fait pour cela</t>
  </si>
  <si>
    <t>Je refuse sans avoir un document écrit du client</t>
  </si>
  <si>
    <t>Quels sont les faits autorisés et donc non passibles de poursuites en matière d'utilisation d’images de vidéoprotection ?</t>
  </si>
  <si>
    <t>Le fait de falsifier des enregistrements</t>
  </si>
  <si>
    <t>Le fait de permettre leur accès à des personnes non habilitées</t>
  </si>
  <si>
    <t>Le fait de ne conserver que les images que pendant un mois au maximum sauf procédure judiciaire en cours</t>
  </si>
  <si>
    <t>Le fait d’utiliser des images à d’autres fins que celles autorisées</t>
  </si>
  <si>
    <t>Toute personne peut-elle demander d’avoir accès aux enregistrements de vidéosurveillance qui la concerne ?</t>
  </si>
  <si>
    <t>Oui car cet accès est de droit, sous certaines conditions</t>
  </si>
  <si>
    <t>Oui après en avoir fait la demande auprès du Préfet</t>
  </si>
  <si>
    <t>Selon le bon-vouloir du responsable de l’installation de vidéosurveillance car il n’est pas obligé de le faire</t>
  </si>
  <si>
    <t>Non car les enregistrements restent toujours confidentiels</t>
  </si>
  <si>
    <t>Le contrôle d’accès électronique est :</t>
  </si>
  <si>
    <t>Un système de sécurité permettant de détecter les personnes au comportement suspect</t>
  </si>
  <si>
    <t>Un système de sécurité permettant de ne faire que des identifications</t>
  </si>
  <si>
    <t>Un système de sécurité empêchant l’accès à des personnes autorisées</t>
  </si>
  <si>
    <t>Un système de sécurité permettant d’autoriser des personnes déterminées</t>
  </si>
  <si>
    <t>Le schéma d’installation de la vidéoprotection permet :</t>
  </si>
  <si>
    <t>De capter, de transmettre, de stocker, de visionner les images</t>
  </si>
  <si>
    <t>D’installer, de maintenir et de mettre à disposition des prestataires des images</t>
  </si>
  <si>
    <t>De compléter le système de surveillance incendie</t>
  </si>
  <si>
    <t>De garantir aux forces de l’ordre la bonne réalisation de la mission de sûreté</t>
  </si>
  <si>
    <r>
      <t>1 – Lorsque des véhicules sont susceptibles de pénétrer au sein du périmètre de protection (L226-1 du CSI), la loi peut également en subordonner l’accès à l’inspection visuelle du contenu du véhicule :</t>
    </r>
    <r>
      <rPr>
        <sz val="12"/>
        <color theme="1"/>
        <rFont val="Aptos"/>
        <family val="2"/>
      </rPr>
      <t>|Avec le consentement de son conducteur, par un agent de prévention et de sécurité|Sans le consentement de son conducteur, par un agent de prévention et de sécurité|Avec le consentement de son conducteur, par un agent de prévention et de sécurité, placé sous l’autorité d’un OPJ|Sans le consentement de son conducteur, par un agent de prévention et de sécurité mais sous le contrôle d’un OPJ|Aucune des autres réponses</t>
    </r>
  </si>
  <si>
    <r>
      <t>2 – Lors de l’inspection d’un bagage, si une personne refuse de se dessaisir d’objets pouvant devenir des armes par destination (bouteille en verre, canette, casque, …) :</t>
    </r>
    <r>
      <rPr>
        <sz val="12"/>
        <color theme="1"/>
        <rFont val="Aptos"/>
        <family val="2"/>
      </rPr>
      <t>|L’agent ne peut lui autoriser l’accès que si les objets sont enveloppés dans un sac plastique transparent « thermo-soudé »|L’agent doit lui refuser l’accès à la manifestation conformément aux consignes spécifiques du site|L’agent doit systématiquement faire intervenir un OPJ|L’agent doit contraindre par la force la personne à se dessaisir des objets|Aucune des autres réponses</t>
    </r>
  </si>
  <si>
    <r>
      <t>3 – Quel est le risque majeur de clôturer un site pour une manifestation culturelle ?</t>
    </r>
    <r>
      <rPr>
        <sz val="12"/>
        <color theme="1"/>
        <rFont val="Aptos"/>
        <family val="2"/>
      </rPr>
      <t>|Provoquer des attroupements à l’extérieur du site|Rendre l’évacuation plus difficile|Aucun, la clôture supprime tous les risques|Engorgement important à l’entrée du site|Aucune des autres réponses</t>
    </r>
  </si>
  <si>
    <r>
      <t>4 – Quel est le risque principal lors d’un rassemblement sportif ?</t>
    </r>
    <r>
      <rPr>
        <sz val="12"/>
        <color theme="1"/>
        <rFont val="Aptos"/>
        <family val="2"/>
      </rPr>
      <t>|Ne pas disposer d’agents féminins pour pratiquer les palpations|Les tentatives d’introduction des VIP dans les zones privatives|La fraude aux faux billets|Les débordements des supporters|Aucune des autres réponses</t>
    </r>
  </si>
  <si>
    <r>
      <t>5 – Parmi ces éléments, quels sont les facteurs aggravant du risque de gestion de l’événement ?</t>
    </r>
    <r>
      <rPr>
        <sz val="12"/>
        <color theme="1"/>
        <rFont val="Aptos"/>
        <family val="2"/>
      </rPr>
      <t>|Des billets pré-vendus en totalité longtemps à l’avance sans places réservées|Des billets pré-vendus en totalité longtemps à l’avance avec places réservées|Des billets vendus au dernier moment sans places réservées|Des billets vendus au dernier moment avec places réservées|Aucune des autres réponses</t>
    </r>
  </si>
  <si>
    <r>
      <t>6 – Avant que ne commence une manifestation, les agents composant le service de sécurité d’un grand rassemblement ont principalement pour rôle de :</t>
    </r>
    <r>
      <rPr>
        <sz val="12"/>
        <color theme="1"/>
        <rFont val="Aptos"/>
        <family val="2"/>
      </rPr>
      <t>|Orienter les spectateurs dans les bonnes directions|Prévenir les journalistes à l’arrivée des VIP|Faire un selfie avec les stars de l’événement|Procéder à l’inspection des installations ou de la salle|Aucune des autres réponses</t>
    </r>
  </si>
  <si>
    <r>
      <t>7 – L’autorité de police peut imposer la présence d’un service d’ordre à l’organisateur d’une manifestation sportive ?</t>
    </r>
    <r>
      <rPr>
        <sz val="12"/>
        <color theme="1"/>
        <rFont val="Aptos"/>
        <family val="2"/>
      </rPr>
      <t>|Non si l’État d’urgence attentat n’est pas décrété|Non si la manifestation est inférieure à 1500 personnes|Oui, si elle estime insuffisantes les mesures envisagées par les organisateurs|Oui, pour les manifestations de plus de 5000 personnes|Aucune des autres réponses</t>
    </r>
  </si>
  <si>
    <r>
      <t>8 – Dans une salle de concert, une personne ivre, qui a un comportement menaçant trouble la tranquillité des spectateurs :</t>
    </r>
    <r>
      <rPr>
        <sz val="12"/>
        <color theme="1"/>
        <rFont val="Aptos"/>
        <family val="2"/>
      </rPr>
      <t>|Je dois faire appel à l’OPJ|Dès lors que la personne a franchi le Point d’Inspection Filtrage, c’est aux organisateurs de s’en occuper|Je ne peux pas appréhender la personne car elle n’a commis un délit puni d’une peine|Je l’emmène à l’écart par la force et l’enferme en situation de dégrisement|Aucune des autres réponses</t>
    </r>
  </si>
  <si>
    <r>
      <t>9 – Quels peuvent être les acteurs autres que le public d’un événement qui nécessitent une attention particulière en matière de sûreté ?</t>
    </r>
    <r>
      <rPr>
        <sz val="12"/>
        <color theme="1"/>
        <rFont val="Aptos"/>
        <family val="2"/>
      </rPr>
      <t>|Les journalistes de la presse|Les organisateurs|Les personnes accréditées (VIP)|Les artistes et personnels rattachés|Toutes les réponses sont exactes</t>
    </r>
  </si>
  <si>
    <r>
      <t>10 – Les organisateurs de manifestations sportives, récréatives ou culturelles sont tenus (R211-22 du CSI) :</t>
    </r>
    <r>
      <rPr>
        <sz val="12"/>
        <color theme="1"/>
        <rFont val="Aptos"/>
        <family val="2"/>
      </rPr>
      <t>|D’en faire la déclaration uniquement si elles sont sur la liste des événements exposés|D’en faire la déclaration aux maires ou aux Préfets de Police, si la manifestation peut atteindre plus de 1500 personnes|D’en faire la déclaration aux maires si la manifestation peut atteindre plus de 300 personnes et aux Préfets si elle dépasse 1500 personnes|D’en faire la déclaration au Préfet de région au moins un an avant|Aucune des autres réponses</t>
    </r>
  </si>
  <si>
    <t>Lorsque des véhicules sont susceptibles de pénétrer au sein du périmètre de protection (L226-1 du CSI), la loi peut également en subordonner l’accès à l’inspection visuelle du contenu du véhicule :</t>
  </si>
  <si>
    <t>Avec le consentement de son conducteur, par un agent de prévention et de sécurité</t>
  </si>
  <si>
    <t>Sans le consentement de son conducteur, par un agent de prévention et de sécurité</t>
  </si>
  <si>
    <t>Avec le consentement de son conducteur, par un agent de prévention et de sécurité, placé sous l’autorité d’un OPJ</t>
  </si>
  <si>
    <t>Sans le consentement de son conducteur, par un agent de prévention et de sécurité mais sous le contrôle d’un OPJ</t>
  </si>
  <si>
    <t>Lors de l’inspection d’un bagage, si une personne refuse de se dessaisir d’objets pouvant devenir des armes par destination (bouteille en verre, canette, casque, …) :</t>
  </si>
  <si>
    <t>L’agent ne peut lui autoriser l’accès que si les objets sont enveloppés dans un sac plastique transparent « thermo-soudé »</t>
  </si>
  <si>
    <t>L’agent doit lui refuser l’accès à la manifestation conformément aux consignes spécifiques du site</t>
  </si>
  <si>
    <t>L’agent doit systématiquement faire intervenir un OPJ</t>
  </si>
  <si>
    <t>L’agent doit contraindre par la force la personne à se dessaisir des objets</t>
  </si>
  <si>
    <t>Quel est le risque majeur de clôturer un site pour une manifestation culturelle ?</t>
  </si>
  <si>
    <t>Provoquer des attroupements à l’extérieur du site</t>
  </si>
  <si>
    <t>Rendre l’évacuation plus difficile</t>
  </si>
  <si>
    <t>Aucun, la clôture supprime tous les risques</t>
  </si>
  <si>
    <t>Engorgement important à l’entrée du site</t>
  </si>
  <si>
    <t>Quel est le risque principal lors d’un rassemblement sportif ?</t>
  </si>
  <si>
    <t>Ne pas disposer d’agents féminins pour pratiquer les palpations</t>
  </si>
  <si>
    <t>Les tentatives d’introduction des VIP dans les zones privatives</t>
  </si>
  <si>
    <t>La fraude aux faux billets</t>
  </si>
  <si>
    <t>Les débordements des supporters</t>
  </si>
  <si>
    <t>Parmi ces éléments, quels sont les facteurs aggravant du risque de gestion de l’événement ?</t>
  </si>
  <si>
    <t>Des billets pré-vendus en totalité longtemps à l’avance sans places réservées</t>
  </si>
  <si>
    <t>Des billets pré-vendus en totalité longtemps à l’avance avec places réservées</t>
  </si>
  <si>
    <t>Des billets vendus au dernier moment sans places réservées</t>
  </si>
  <si>
    <t>Des billets vendus au dernier moment avec places réservées</t>
  </si>
  <si>
    <t>Avant que ne commence une manifestation, les agents composant le service de sécurité d’un grand rassemblement ont principalement pour rôle de :</t>
  </si>
  <si>
    <t>Orienter les spectateurs dans les bonnes directions</t>
  </si>
  <si>
    <t>Prévenir les journalistes à l’arrivée des VIP</t>
  </si>
  <si>
    <t>Faire un selfie avec les stars de l’événement</t>
  </si>
  <si>
    <t>Procéder à l’inspection des installations ou de la salle</t>
  </si>
  <si>
    <t>L’autorité de police peut imposer la présence d’un service d’ordre à l’organisateur d’une manifestation sportive ?</t>
  </si>
  <si>
    <t>Non si l’État d’urgence attentat n’est pas décrété</t>
  </si>
  <si>
    <t>Non si la manifestation est inférieure à 1500 personnes</t>
  </si>
  <si>
    <t>Oui, si elle estime insuffisantes les mesures envisagées par les organisateurs</t>
  </si>
  <si>
    <t>Oui, pour les manifestations de plus de 5000 personnes</t>
  </si>
  <si>
    <t>Dans une salle de concert, une personne ivre, qui a un comportement menaçant trouble la tranquillité des spectateurs :</t>
  </si>
  <si>
    <t>Je dois faire appel à l’OPJ</t>
  </si>
  <si>
    <t>Dès lors que la personne a franchi le Point d’Inspection Filtrage, c’est aux organisateurs de s’en occuper</t>
  </si>
  <si>
    <t>Je ne peux pas appréhender la personne car elle n’a commis un délit puni d’une peine</t>
  </si>
  <si>
    <t>Je l’emmène à l’écart par la force et l’enferme en situation de dégrisement</t>
  </si>
  <si>
    <t>Quels peuvent être les acteurs autres que le public d’un événement qui nécessitent une attention particulière en matière de sûreté ?</t>
  </si>
  <si>
    <t>Les journalistes de la presse</t>
  </si>
  <si>
    <t>Les organisateurs</t>
  </si>
  <si>
    <t>Les personnes accréditées (VIP)</t>
  </si>
  <si>
    <t>Les artistes et personnels rattachés</t>
  </si>
  <si>
    <t>Les organisateurs de manifestations sportives, récréatives ou culturelles sont tenus (R211-22 du CSI) :</t>
  </si>
  <si>
    <t>D’en faire la déclaration uniquement si elles sont sur la liste des événements exposés</t>
  </si>
  <si>
    <t>D’en faire la déclaration aux maires ou aux Préfets de Police, si la manifestation peut atteindre plus de 1500 personnes</t>
  </si>
  <si>
    <t>D’en faire la déclaration aux maires si la manifestation peut atteindre plus de 300 personnes et aux Préfets si elle dépasse 1500 personnes</t>
  </si>
  <si>
    <t>D’en faire la déclaration au Préfet de région au moins un an avant</t>
  </si>
  <si>
    <r>
      <t xml:space="preserve">        </t>
    </r>
    <r>
      <rPr>
        <sz val="12"/>
        <color theme="1"/>
        <rFont val="Arial"/>
        <family val="2"/>
      </rPr>
      <t xml:space="preserve">1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Vous intervenez sur une armoire électrique, quelle précaution devez-vous prendre ?|Contacter préalablement le fournisseur d’électricité|Vérifier que l’extincteur utilisé est plein|Mettre un appareil respiratoire isolant|Couper ou veiller à ce que l’électricité soit coupée|Aucune des réponses précédentes</t>
    </r>
  </si>
  <si>
    <r>
      <t xml:space="preserve">        </t>
    </r>
    <r>
      <rPr>
        <sz val="11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Quelle est la bonne correspondance de classe de feu ?|B : Feu de gaz|C : Feu de solide|A : Feu de liquide|A : Feu de solide|Aucune des réponses précédentes</t>
    </r>
  </si>
  <si>
    <r>
      <t xml:space="preserve">        </t>
    </r>
    <r>
      <rPr>
        <sz val="11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Vous découvrez une fuite importante sur une canalisation d’un R.I.A. Que faites-vous immédiatement après voir prévenu le P.C.S. ?|Je ferme la vanne de barrage du R.I.A.|Je fais appel au service de nettoyage|J’appelle les pompiers|Aucune des réponses précédentes</t>
    </r>
  </si>
  <si>
    <r>
      <t xml:space="preserve">        </t>
    </r>
    <r>
      <rPr>
        <sz val="11"/>
        <color theme="1"/>
        <rFont val="Arial"/>
        <family val="2"/>
      </rPr>
      <t>4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Le triangle du feu regroupe trois paramètres ?|Le carburant, le combustible et l’inhibition|Le comburant, le combustible, l’énergie d’activation|Le refroidissement|Aucune des réponses précédentes</t>
    </r>
  </si>
  <si>
    <r>
      <t xml:space="preserve">        </t>
    </r>
    <r>
      <rPr>
        <sz val="11"/>
        <color theme="1"/>
        <rFont val="Arial"/>
        <family val="2"/>
      </rPr>
      <t>5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De quelle couleur peut être un extincteur ?|Rouge|Vert|Les deux|Aucune des réponses précédentes</t>
    </r>
  </si>
  <si>
    <r>
      <t xml:space="preserve">        </t>
    </r>
    <r>
      <rPr>
        <sz val="11"/>
        <color theme="1"/>
        <rFont val="Arial"/>
        <family val="2"/>
      </rPr>
      <t>6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Dans quel cas doit-on rédiger un permis de feu ?|Lors de la mise en route des groupes électrogènes|A la mise en place d’une zone fumeur|A l’occasion des travaux par points chauds|Aucune des réponses précédentes</t>
    </r>
  </si>
  <si>
    <r>
      <t xml:space="preserve">        </t>
    </r>
    <r>
      <rPr>
        <sz val="11"/>
        <color theme="1"/>
        <rFont val="Arial"/>
        <family val="2"/>
      </rPr>
      <t>7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Vous êtes en poste au PC Sécurité, une alarme incendie retentit :|Vous arrêtez immédiatement le signal sonore et réarmez la zone|Vous appuyez sur l’évacuation générale|Vous finissez votre ronde et vous la prenez en compte|Vous contactez immédiatement votre collègue afin qu’il effectue immédiatement une levée de doute sur site|Aucune des réponses précédentes</t>
    </r>
  </si>
  <si>
    <r>
      <t xml:space="preserve">        </t>
    </r>
    <r>
      <rPr>
        <sz val="11"/>
        <color theme="1"/>
        <rFont val="Arial"/>
        <family val="2"/>
      </rPr>
      <t>8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Où trouve-t-on les consignes générales de sécurité|A proximité des sorties de secours|Dans les sanitaires|Dans les locaux techniques|Dans votre local|Aucune des réponses précédentes</t>
    </r>
  </si>
  <si>
    <r>
      <t xml:space="preserve">        </t>
    </r>
    <r>
      <rPr>
        <sz val="11"/>
        <color theme="1"/>
        <rFont val="Arial"/>
        <family val="2"/>
      </rPr>
      <t>9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Indiquez le message d’alerte le plus efficace :|Nom de l’établissement, N° de téléphone, Nature du sinistre, Action menée|Nom, Prénom, adresse, action menée|Nom de l’établissement, N° de téléphone, Nature du sinistre, Adresse|Aucune des réponses précédentes</t>
    </r>
  </si>
  <si>
    <r>
      <t xml:space="preserve">        </t>
    </r>
    <r>
      <rPr>
        <sz val="12"/>
        <color theme="1"/>
        <rFont val="Arial"/>
        <family val="2"/>
      </rPr>
      <t>1</t>
    </r>
    <r>
      <rPr>
        <sz val="11"/>
        <color theme="1"/>
        <rFont val="Arial"/>
        <family val="2"/>
      </rPr>
      <t>0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Qu’indique un voyant rouge sur le SSI ?|Un défaut|Un feu|Un dérangement|Un défaut de position de sécurité|Aucune des réponses précédentes</t>
    </r>
  </si>
  <si>
    <t>Vous intervenez sur une armoire électrique, quelle précaution devez-vous prendre ?</t>
  </si>
  <si>
    <t>Vérifier que l’extincteur utilisé est plein</t>
  </si>
  <si>
    <t>Quelle est la bonne correspondance de classe de feu ?</t>
  </si>
  <si>
    <t>B : Feu de gaz</t>
  </si>
  <si>
    <t>C : Feu de solide</t>
  </si>
  <si>
    <t>A : Feu de liquide</t>
  </si>
  <si>
    <t>A : Feu de solide</t>
  </si>
  <si>
    <t>Vous découvrez une fuite importante sur une canalisation d’un R.I.A. Que faites-vous immédiatement après voir prévenu le P.C.S. ?</t>
  </si>
  <si>
    <t>Je ferme la vanne de barrage du R.I.A.</t>
  </si>
  <si>
    <t>Je fais appel au service de nettoyage</t>
  </si>
  <si>
    <t>J’appelle les pompiers</t>
  </si>
  <si>
    <t>Le triangle du feu regroupe trois paramètres ?</t>
  </si>
  <si>
    <t>Le carburant, le combustible et l’inhibition</t>
  </si>
  <si>
    <t>De quelle couleur peut être un extincteur ?</t>
  </si>
  <si>
    <t>Les deux</t>
  </si>
  <si>
    <t>Dans quel cas doit-on rédiger un permis de feu ?</t>
  </si>
  <si>
    <t>Lors de la mise en route des groupes électrogènes</t>
  </si>
  <si>
    <t>A la mise en place d’une zone fumeur</t>
  </si>
  <si>
    <t>A l’occasion des travaux par points chauds</t>
  </si>
  <si>
    <t>Vous êtes en poste au PC Sécurité, une alarme incendie retentit :</t>
  </si>
  <si>
    <t>Vous arrêtez immédiatement le signal sonore et réarmez la zone</t>
  </si>
  <si>
    <t>Vous appuyez sur l’évacuation générale</t>
  </si>
  <si>
    <t>Vous finissez votre ronde et vous la prenez en compte</t>
  </si>
  <si>
    <t>Vous contactez immédiatement votre collègue afin qu’il effectue immédiatement une levée de doute sur site</t>
  </si>
  <si>
    <t>Où trouve-t-on les consignes générales de sécurité</t>
  </si>
  <si>
    <t>A proximité des sorties de secours</t>
  </si>
  <si>
    <t>Dans les sanitaires</t>
  </si>
  <si>
    <t>Dans les locaux techniques</t>
  </si>
  <si>
    <t>Dans votre local</t>
  </si>
  <si>
    <t>Indiquez le message d’alerte le plus efficace :</t>
  </si>
  <si>
    <t>Nom de l’établissement, N° de téléphone, Nature du sinistre, Action menée</t>
  </si>
  <si>
    <t>Nom, Prénom, adresse, action menée</t>
  </si>
  <si>
    <t>Nom de l’établissement, N° de téléphone, Nature du sinistre, Adresse</t>
  </si>
  <si>
    <t>Qu’indique un voyant rouge sur le SSI ?</t>
  </si>
  <si>
    <t>Un défaut</t>
  </si>
  <si>
    <t>Un feu</t>
  </si>
  <si>
    <t>Un dérangement</t>
  </si>
  <si>
    <t>Un défaut de position de sécurité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</si>
  <si>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</si>
  <si>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</si>
  <si>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</si>
  <si>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</si>
  <si>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</si>
  <si>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</si>
  <si>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</si>
  <si>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</si>
  <si>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</si>
  <si>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</si>
  <si>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r>
      <t xml:space="preserve">        </t>
    </r>
    <r>
      <rPr>
        <sz val="11"/>
        <color theme="1"/>
        <rFont val="Arial"/>
        <family val="2"/>
      </rPr>
      <t>1 – En cas de détection incendie, sur quelle unité le voyant est-il lumineux ?|Le CMSI, Centralisateur de Mise en Sécurité Incendie|Le SMSI, Système de Mise en Sécurité Incendie|Le DAS, Dispositif Actionné de Sécurité|Le SDI, Système de Détection Incendie|Aucune des réponses précédentes</t>
    </r>
  </si>
  <si>
    <r>
      <t xml:space="preserve">        </t>
    </r>
    <r>
      <rPr>
        <sz val="11"/>
        <color theme="1"/>
        <rFont val="Arial"/>
        <family val="2"/>
      </rPr>
      <t>2 – Quelle type d’alarme existe-il dans le fonctionnement d’un DATI ?|L’alarme semi-automatique|Aucune des réponses précédentes|La perte de verticalité|L’alarme aléatoire|Aucune des réponses précédentes</t>
    </r>
  </si>
  <si>
    <r>
      <t xml:space="preserve">        </t>
    </r>
    <r>
      <rPr>
        <sz val="11"/>
        <color theme="1"/>
        <rFont val="Arial"/>
        <family val="2"/>
      </rPr>
      <t>3 – Quel est le signe distinctif réglementaire qui permet d’identifier un local électrique ?|Un symbole avec une tête de mort|Un triangle rouge|Un triangle jaune|Un panneau défense d’entrer|Aucune des réponses précédentes</t>
    </r>
  </si>
  <si>
    <r>
      <t xml:space="preserve">        </t>
    </r>
    <r>
      <rPr>
        <sz val="11"/>
        <color theme="1"/>
        <rFont val="Arial"/>
        <family val="2"/>
      </rPr>
      <t>4 – Votre équipement de protection du travailleur isolé est utile :|Uniquement au PC|Uniquement durant le circuit de vérification|Au poste de sécurité (PC) et en dehors du PC|Aucune des réponses précédentes</t>
    </r>
  </si>
  <si>
    <r>
      <t xml:space="preserve">        </t>
    </r>
    <r>
      <rPr>
        <sz val="11"/>
        <color theme="1"/>
        <rFont val="Arial"/>
        <family val="2"/>
      </rPr>
      <t>5 – Quelle habilitation minimum doit avoir un APS pour entrer dans un local avec TGBT (Tableau Général Basse Tension) ?|L’habilitation H1 / B1|L’habilitation H0 / B0|L’habilitation BR ou BC|L’habilitation BS ou BE manœuvre|Aucune habilitation n’est nécessaire</t>
    </r>
  </si>
  <si>
    <r>
      <t xml:space="preserve">        </t>
    </r>
    <r>
      <rPr>
        <sz val="11"/>
        <color theme="1"/>
        <rFont val="Arial"/>
        <family val="2"/>
      </rPr>
      <t>6 – Quel est l’un des modes de déclenchement dans le fonctionnement d’un DATI ?|En cas d’arrachement et/ou d’agression morale|En cas d’arrachement et/ou d’agression psychique|En cas d’arrachement et/ou d’agression physique|Aucune des réponses précédentes</t>
    </r>
  </si>
  <si>
    <r>
      <t xml:space="preserve">        </t>
    </r>
    <r>
      <rPr>
        <sz val="11"/>
        <color theme="1"/>
        <rFont val="Arial"/>
        <family val="2"/>
      </rPr>
      <t>7 – Quel est l’un des éléments qui permet le déclenchement du dispositif DATI ?|Le dispositif détecte une position anormale prolongée du travailleur|Le dispositif se déclenche en cas d’intrusion|Le dispositif se déclenche en cas de ronde réalisée partiellement|Le dispositif se déclenche en cas de détonation|Aucune des réponses précédentes</t>
    </r>
  </si>
  <si>
    <r>
      <t xml:space="preserve">        </t>
    </r>
    <r>
      <rPr>
        <sz val="11"/>
        <color theme="1"/>
        <rFont val="Arial"/>
        <family val="2"/>
      </rPr>
      <t>8 – Que signifie le sigle DATI ?|Dispositif d’Alarme du Travailleur Isolé|Détecteur Automatique Temporisé d’Intrusion|Dispositif d’Alerte du Travailleur Isolé|Dispositif d’Alarme Travail Intérieur|Dispositif d’Alarme Technique Individuel</t>
    </r>
  </si>
  <si>
    <r>
      <t xml:space="preserve">        </t>
    </r>
    <r>
      <rPr>
        <sz val="11"/>
        <color theme="1"/>
        <rFont val="Arial"/>
        <family val="2"/>
      </rPr>
      <t>9 – Pour vous, quelle réponse justifierait le port du DATI ?|J’effectue seul(e) une ronde sur un site|Je suis en surveillance de nuit avec 3 autres APS|Je suis affecté au contrôle d’accès d’un site face à l’accueil en activité|Je suis en surveillance derrière la ligne de caisse avec 3 autres APS|Aucune des réponses précédentes</t>
    </r>
  </si>
  <si>
    <r>
      <t xml:space="preserve">        </t>
    </r>
    <r>
      <rPr>
        <sz val="11"/>
        <color theme="1"/>
        <rFont val="Arial"/>
        <family val="2"/>
      </rPr>
      <t>10 – Quelles sont les limites de la basse tension en courant alternatif ?|De 500 V à 800 V|De 50 V à 1000 V|De 500 V à 1000 V|De 50 V à 750 V|Aucune des réponses précédentes</t>
    </r>
  </si>
  <si>
    <r>
      <t xml:space="preserve">        </t>
    </r>
    <r>
      <rPr>
        <sz val="11"/>
        <color theme="1"/>
        <rFont val="Arial"/>
        <family val="2"/>
      </rPr>
      <t>11 – En cas de déclenchement du dispositif d’alarme d’un DATI, peut-on localiser avec précision une victime ?|Oui|Non</t>
    </r>
  </si>
  <si>
    <r>
      <t xml:space="preserve">        </t>
    </r>
    <r>
      <rPr>
        <sz val="11"/>
        <color theme="1"/>
        <rFont val="Arial"/>
        <family val="2"/>
      </rPr>
      <t>12 – Lors d’un appel du PC de télésurveillance pour une alarme intrusion sur votre site, vous devez en premier lieu :|Noter l’appel sur la main courante ou le cahier de poste|Confirmer votre identité par un mot de passe|Confirmer qu’il n’existe aucune anomalie avant d’avoir fait effectuer une levée de doute|Aucune des réponses précédentes</t>
    </r>
  </si>
  <si>
    <r>
      <t xml:space="preserve">        </t>
    </r>
    <r>
      <rPr>
        <sz val="11"/>
        <color theme="1"/>
        <rFont val="Arial"/>
        <family val="2"/>
      </rPr>
      <t>13 – Quelles sont les principales qualités d’un système d’alarme ?|Inviolabilité, compatibilité, pluralité, fiabilité, sécurité négative|Inviolabilité, compatibilité, pluralité, fébrilité, sécurité négative|Inviolabilité, compatibilité, pluralité, fiabilité, sécurité positive|Inviolabilité, comptabilité, pluralité, fiabilité, sécurité positive|Aucune des réponses précédentes</t>
    </r>
  </si>
  <si>
    <r>
      <t xml:space="preserve">        </t>
    </r>
    <r>
      <rPr>
        <sz val="11"/>
        <color theme="1"/>
        <rFont val="Arial"/>
        <family val="2"/>
      </rPr>
      <t>14 – Vous êtes en poste au PC sécurité et une Alarme Incendie retentit|Vous appuyez sur l’évacuation générale pour être certain que tout le monde évacue|Vous arrêtez immédiatement le signal sonore et réarmez la zone, c’est sûrement rien comme d’habitude|Vous finissez ce que vous faisiez vous serez toujours à temps d’envoyer le rondier à son retour de ronde|Vous contactez sur le champ votre collègue pour qu’il effectue immédiatement une levée de doute sur zone|Aucune des réponses précédentes</t>
    </r>
  </si>
  <si>
    <r>
      <t xml:space="preserve">        </t>
    </r>
    <r>
      <rPr>
        <sz val="11"/>
        <color theme="1"/>
        <rFont val="Arial"/>
        <family val="2"/>
      </rPr>
      <t>15 – Votre collègue est en ronde, vous êtes en poste au PC et recevez une alarme intrusion, que faites-vous ?|Vous rejoignez au plus vite votre collègue pour intervenir plus efficacement|Vous effectuez vous-même la levée de doute|Vous demandez à votre collègue de se rendre sur le lieu précis de déclenchement de l’alarme pour effectuer la levée de doute|Vous attendez que votre collègue finisse sa ronde pour intervenir|Aucune des réponses précédentes</t>
    </r>
  </si>
  <si>
    <r>
      <t xml:space="preserve">        </t>
    </r>
    <r>
      <rPr>
        <sz val="11"/>
        <color theme="1"/>
        <rFont val="Arial"/>
        <family val="2"/>
      </rPr>
      <t>16 – Vous êtes en poste au PC sécurité et une Alarme Incendie retentit|Vous finissez ce que vous faisiez vous serez toujours à temps d’envoyer le rondier à son retour de ronde|Vous appuyez sur l’évacuation générale pour être certain que tout le monde évacue|Vous arrêtez immédiatement le signal sonore et réarmez la zone, c’est sûrement rien comme d’habitude|Vous contactez sur le champ votre collègue pour qu’il effectue immédiatement une levée de doute sur zone|Aucune des réponses précédentes</t>
    </r>
  </si>
  <si>
    <r>
      <t xml:space="preserve">        </t>
    </r>
    <r>
      <rPr>
        <sz val="11"/>
        <color theme="1"/>
        <rFont val="Arial"/>
        <family val="2"/>
      </rPr>
      <t>17 – Vous êtes en poste, les pompiers arrivent sur le site sinistré. Vous êtes informé que la voie d’accès principale est bloquée par un camion stationné. Que faites-vous en priorité ?|Je propose aux pompiers d’emprunter un autre accès qui est bien libre|J’autorise les pompiers à pousser le camion, ils en ont l’obligation|J’appelle les personnels de l’usine, au point de rassemblement, pour déplacer le véhicule|J’appelle la Fourrière|Aucune des réponses précédentes</t>
    </r>
  </si>
  <si>
    <r>
      <t xml:space="preserve">        </t>
    </r>
    <r>
      <rPr>
        <sz val="11"/>
        <color theme="1"/>
        <rFont val="Arial"/>
        <family val="2"/>
      </rPr>
      <t>18 – Lors d’un orage, une coupure de courant intervient, que faites-vous ?|Rien|Réarmer le disjoncteur principal|Vous cherchez les bougies|J’applique les consignes|Aucune des réponses précédentes</t>
    </r>
  </si>
  <si>
    <r>
      <t xml:space="preserve">        </t>
    </r>
    <r>
      <rPr>
        <sz val="11"/>
        <color theme="1"/>
        <rFont val="Arial"/>
        <family val="2"/>
      </rPr>
      <t>19 – Vous êtes seul sur site lors d’une ronde, vous constatez un incendie, que faites-vous en premier ?|J’appelle les pompiers|Je compose le 17|Je rends compte au PCS et je tente l’extinction|J’ai obligation de prendre un extincteur pour éteindre l’incendie|Aucune des réponses précédentes</t>
    </r>
  </si>
  <si>
    <r>
      <t xml:space="preserve">        </t>
    </r>
    <r>
      <rPr>
        <sz val="11"/>
        <color theme="1"/>
        <rFont val="Arial"/>
        <family val="2"/>
      </rPr>
      <t>20 – Le courant est dangereux à partir de :|700 V en courant alternatif|500 V en courant alternatif|50 V en courant alternatif|25 V en courant continu|Aucune des réponses précédentes</t>
    </r>
  </si>
  <si>
    <r>
      <t xml:space="preserve">        </t>
    </r>
    <r>
      <rPr>
        <sz val="11"/>
        <color theme="1"/>
        <rFont val="Arial"/>
        <family val="2"/>
      </rPr>
      <t>21 – Qui délivre l’habilitation électrique ?|L’employeur|Le formateur|Le chargé de travaux|Aucune des réponses précédentes</t>
    </r>
  </si>
  <si>
    <r>
      <t xml:space="preserve">        </t>
    </r>
    <r>
      <rPr>
        <sz val="11"/>
        <color theme="1"/>
        <rFont val="Arial"/>
        <family val="2"/>
      </rPr>
      <t>22 – Qu’est-ce qu’une alarme restreinte ?|C’est un signal sonore qui alerte une partie du personnel pour évacuer|C’est un signal visuel et sonore qui informe le PC pour effectuer une levée de doute|C’est un signal sonore qui alerte l’ensemble des occupants pour évacuer|C’est un signal horizontal et vertical qui guide les occupants vers la sortie|Aucune des réponses précédentes</t>
    </r>
  </si>
  <si>
    <r>
      <t xml:space="preserve">        </t>
    </r>
    <r>
      <rPr>
        <sz val="11"/>
        <color theme="1"/>
        <rFont val="Arial"/>
        <family val="2"/>
      </rPr>
      <t>23 – Dans une usine en activité, suite à un incendie, une évacuation générale es déclenchée, les pompiers arrivent, agent au PC, que faites-vous en priorité ?|Je remets les plans d’évacuation parfaitement à jour aux pompiers qui savent où aller|Je vérifie rapidement les cartes professionnelles des pompiers|Je dépêche un agent pour les accueillir et les guider|Je demande aux agents d’utiliser les extincteurs pour maîtriser l’incendie|Aucune des réponses précédentes</t>
    </r>
  </si>
  <si>
    <t>En cas de détection incendie, sur quelle unité le voyant est-il lumineux ?</t>
  </si>
  <si>
    <t>Le CMSI, Centralisateur de Mise en Sécurité Incendie</t>
  </si>
  <si>
    <t>Le SMSI, Système de Mise en Sécurité Incendie</t>
  </si>
  <si>
    <t>Le DAS, Dispositif Actionné de Sécurité</t>
  </si>
  <si>
    <t>Le SDI, Système de Détection Incendie</t>
  </si>
  <si>
    <t>Quelle type d’alarme existe-il dans le fonctionnement d’un DATI ?</t>
  </si>
  <si>
    <t>L’alarme semi-automatique</t>
  </si>
  <si>
    <t>La perte de verticalité</t>
  </si>
  <si>
    <t>L’alarme aléatoire</t>
  </si>
  <si>
    <t>Quel est le signe distinctif réglementaire qui permet d’identifier un local électrique ?</t>
  </si>
  <si>
    <t>Un symbole avec une tête de mort</t>
  </si>
  <si>
    <t>Un triangle rouge</t>
  </si>
  <si>
    <t>Un triangle jaune</t>
  </si>
  <si>
    <t>Un panneau défense d’entrer</t>
  </si>
  <si>
    <t>Votre équipement de protection du travailleur isolé est utile :</t>
  </si>
  <si>
    <t>Uniquement au PC</t>
  </si>
  <si>
    <t>Uniquement durant le circuit de vérification</t>
  </si>
  <si>
    <t>Au poste de sécurité (PC) et en dehors du PC</t>
  </si>
  <si>
    <t>Quelle habilitation minimum doit avoir un APS pour entrer dans un local avec TGBT (Tableau Général Basse Tension) ?</t>
  </si>
  <si>
    <t>L’habilitation H1 / B1</t>
  </si>
  <si>
    <t>L’habilitation H0 / B0</t>
  </si>
  <si>
    <t>L’habilitation BR ou BC</t>
  </si>
  <si>
    <t>L’habilitation BS ou BE manœuvre</t>
  </si>
  <si>
    <t>Aucune habilitation n’est nécessaire</t>
  </si>
  <si>
    <t>Quel est l’un des modes de déclenchement dans le fonctionnement d’un DATI ?</t>
  </si>
  <si>
    <t>En cas d’arrachement et/ou d’agression morale</t>
  </si>
  <si>
    <t>En cas d’arrachement et/ou d’agression psychique</t>
  </si>
  <si>
    <t>En cas d’arrachement et/ou d’agression physique</t>
  </si>
  <si>
    <t>Quel est l’un des éléments qui permet le déclenchement du dispositif DATI ?</t>
  </si>
  <si>
    <t>Le dispositif détecte une position anormale prolongée du travailleur</t>
  </si>
  <si>
    <t>Le dispositif se déclenche en cas d’intrusion</t>
  </si>
  <si>
    <t>Le dispositif se déclenche en cas de ronde réalisée partiellement</t>
  </si>
  <si>
    <t>Le dispositif se déclenche en cas de détonation</t>
  </si>
  <si>
    <t>Que signifie le sigle DATI ?</t>
  </si>
  <si>
    <t>Dispositif d’Alarme du Travailleur Isolé</t>
  </si>
  <si>
    <t>Détecteur Automatique Temporisé d’Intrusion</t>
  </si>
  <si>
    <t>Dispositif d’Alerte du Travailleur Isolé</t>
  </si>
  <si>
    <t>Dispositif d’Alarme Travail Intérieur</t>
  </si>
  <si>
    <t>Dispositif d’Alarme Technique Individuel</t>
  </si>
  <si>
    <t>Pour vous, quelle réponse justifierait le port du DATI ?</t>
  </si>
  <si>
    <t>J’effectue seul(e) une ronde sur un site</t>
  </si>
  <si>
    <t>Je suis en surveillance de nuit avec 3 autres APS</t>
  </si>
  <si>
    <t>Je suis affecté au contrôle d’accès d’un site face à l’accueil en activité</t>
  </si>
  <si>
    <t>Je suis en surveillance derrière la ligne de caisse avec 3 autres APS</t>
  </si>
  <si>
    <t>Quelles sont les limites de la basse tension en courant alternatif ?</t>
  </si>
  <si>
    <t>De 500 V à 800 V</t>
  </si>
  <si>
    <t>De 50 V à 1000 V</t>
  </si>
  <si>
    <t>De 500 V à 1000 V</t>
  </si>
  <si>
    <t>De 50 V à 750 V</t>
  </si>
  <si>
    <t>En cas de déclenchement du dispositif d’alarme d’un DATI, peut-on localiser avec précision une victime ?</t>
  </si>
  <si>
    <t>Lors d’un appel du PC de télésurveillance pour une alarme intrusion sur votre site, vous devez en premier lieu :</t>
  </si>
  <si>
    <t>Noter l’appel sur la main courante ou le cahier de poste</t>
  </si>
  <si>
    <t>Confirmer votre identité par un mot de passe</t>
  </si>
  <si>
    <t>Confirmer qu’il n’existe aucune anomalie avant d’avoir fait effectuer une levée de doute</t>
  </si>
  <si>
    <t>Quelles sont les principales qualités d’un système d’alarme ?</t>
  </si>
  <si>
    <t>Inviolabilité, compatibilité, pluralité, fiabilité, sécurité négative</t>
  </si>
  <si>
    <t>Inviolabilité, compatibilité, pluralité, fébrilité, sécurité négative</t>
  </si>
  <si>
    <t>Inviolabilité, compatibilité, pluralité, fiabilité, sécurité positive</t>
  </si>
  <si>
    <t>Inviolabilité, comptabilité, pluralité, fiabilité, sécurité positive</t>
  </si>
  <si>
    <t>Vous êtes en poste au PC sécurité et une Alarme Incendie retentit</t>
  </si>
  <si>
    <t>Vous appuyez sur l’évacuation générale pour être certain que tout le monde évacue</t>
  </si>
  <si>
    <t>Vous arrêtez immédiatement le signal sonore et réarmez la zone, c’est sûrement rien comme d’habitude</t>
  </si>
  <si>
    <t>Vous finissez ce que vous faisiez vous serez toujours à temps d’envoyer le rondier à son retour de ronde</t>
  </si>
  <si>
    <t>Votre collègue est en ronde, vous êtes en poste au PC et recevez une alarme intrusion, que faites-vous ?</t>
  </si>
  <si>
    <t>Vous rejoignez au plus vite votre collègue pour intervenir plus efficacement</t>
  </si>
  <si>
    <t>Vous effectuez vous-même la levée de doute</t>
  </si>
  <si>
    <t>Vous demandez à votre collègue de se rendre sur le lieu précis de déclenchement de l’alarme pour effectuer la levée de doute</t>
  </si>
  <si>
    <t>Vous attendez que votre collègue finisse sa ronde pour intervenir</t>
  </si>
  <si>
    <t>Vous êtes en poste, les pompiers arrivent sur le site sinistré. Vous êtes informé que la voie d’accès principale est bloquée par un camion stationné. Que faites-vous en priorité ?</t>
  </si>
  <si>
    <t>Je propose aux pompiers d’emprunter un autre accès qui est bien libre</t>
  </si>
  <si>
    <t>J’appelle la Fourrière</t>
  </si>
  <si>
    <t>Lors d’un orage, une coupure de courant intervient, que faites-vous ?</t>
  </si>
  <si>
    <t>Rien</t>
  </si>
  <si>
    <t>Réarmer le disjoncteur principal</t>
  </si>
  <si>
    <t>Vous cherchez les bougies</t>
  </si>
  <si>
    <t>J’applique les consignes</t>
  </si>
  <si>
    <t>Vous êtes seul sur site lors d’une ronde, vous constatez un incendie, que faites-vous en premier ?</t>
  </si>
  <si>
    <t>Je compose le 17</t>
  </si>
  <si>
    <t>Je rends compte au PCS et je tente l’extinction</t>
  </si>
  <si>
    <t>J’ai obligation de prendre un extincteur pour éteindre l’incendie</t>
  </si>
  <si>
    <t>Le courant est dangereux à partir de :</t>
  </si>
  <si>
    <t>700 V en courant alternatif</t>
  </si>
  <si>
    <t>500 V en courant alternatif</t>
  </si>
  <si>
    <t>50 V en courant alternatif</t>
  </si>
  <si>
    <t>25 V en courant continu</t>
  </si>
  <si>
    <t>Qui délivre l’habilitation électrique ?</t>
  </si>
  <si>
    <t>L’employeur</t>
  </si>
  <si>
    <t>Le formateur</t>
  </si>
  <si>
    <t>Le chargé de travaux</t>
  </si>
  <si>
    <t>Qu’est-ce qu’une alarme restreinte ?</t>
  </si>
  <si>
    <t>C’est un signal sonore qui alerte une partie du personnel pour évacuer</t>
  </si>
  <si>
    <t>C’est un signal visuel et sonore qui informe le PC pour effectuer une levée de doute</t>
  </si>
  <si>
    <t>C’est un signal sonore qui alerte l’ensemble des occupants pour évacuer</t>
  </si>
  <si>
    <t>C’est un signal horizontal et vertical qui guide les occupants vers la sortie</t>
  </si>
  <si>
    <t>Dans une usine en activité, suite à un incendie, une évacuation générale es déclenchée, les pompiers arrivent, agent au PC, que faites-vous en priorité ?</t>
  </si>
  <si>
    <t>Je remets les plans d’évacuation parfaitement à jour aux pompiers qui savent où aller</t>
  </si>
  <si>
    <t>Je vérifie rapidement les cartes professionnelles des pompiers</t>
  </si>
  <si>
    <t>Je dépêche un agent pour les accueillir et les guider</t>
  </si>
  <si>
    <t>Je demande aux agents d’utiliser les extincteurs pour maîtriser l’incendie</t>
  </si>
  <si>
    <t>A quel moment est rédigé le Plan de Prévention ?</t>
  </si>
  <si>
    <t>Avant la prestation</t>
  </si>
  <si>
    <t>Pendant la prestation</t>
  </si>
  <si>
    <t>Après la prestation</t>
  </si>
  <si>
    <t>Vous les réorientez vers le point de rassemblement</t>
  </si>
  <si>
    <t>Vous ne faites rien car il s’agit d’un exercice</t>
  </si>
  <si>
    <t>Aucune des réponse précédentes</t>
  </si>
  <si>
    <t>Que signifie POI ?</t>
  </si>
  <si>
    <t>Processus d’Organisation Interne</t>
  </si>
  <si>
    <t>Plan d’Opération Interne</t>
  </si>
  <si>
    <t>Processus Optimisé Industriel</t>
  </si>
  <si>
    <t>Plan Obligatoire d’Intervention</t>
  </si>
  <si>
    <t>Le pictogramme sur fond vert indique :</t>
  </si>
  <si>
    <t>Un panneau d’avertissement de danger</t>
  </si>
  <si>
    <t>Un panneau concernant le matériel ou l’équipement de lutte contre l’incendie</t>
  </si>
  <si>
    <t>Un panneau d’interdiction</t>
  </si>
  <si>
    <t>Un panneau de sauvetage et de secours</t>
  </si>
  <si>
    <t>Quel est le rôle du Document Unique (DU) ?</t>
  </si>
  <si>
    <t>Analyser les dangers et la gestion des risques</t>
  </si>
  <si>
    <t>N’est pas obligatoire</t>
  </si>
  <si>
    <t>Identifier les dangers et évaluer les risques</t>
  </si>
  <si>
    <t>Identifier les risques et les conditions de travail</t>
  </si>
  <si>
    <t>L’inspecteur du travail</t>
  </si>
  <si>
    <t>Le médecin du travail</t>
  </si>
  <si>
    <t>Les salariés</t>
  </si>
  <si>
    <t>Les entreprises extérieures</t>
  </si>
  <si>
    <t>Vous rappelez l’interdiction de fumer</t>
  </si>
  <si>
    <t>Vous interdisez immédiatement à la personne de fumer</t>
  </si>
  <si>
    <t>Du droit de retrait en cas de danger potentiel et dangereux</t>
  </si>
  <si>
    <t>Du droit d’alerte en cas de danger grave et imminent</t>
  </si>
  <si>
    <t>Du droit d’alerte en cas de danger potentiel et dangereux</t>
  </si>
  <si>
    <t>Du droit de retrait en cas de danger grave et imminent</t>
  </si>
  <si>
    <t>Que signifie l’abrégé P.P.I. ?</t>
  </si>
  <si>
    <t>Plan Particulier d’Intervention</t>
  </si>
  <si>
    <t>Plan Particulier d’Investigation</t>
  </si>
  <si>
    <t>Plan Particulier d’inter population</t>
  </si>
  <si>
    <t>La directive SEVESO est applicable pour ?</t>
  </si>
  <si>
    <t>Les établissement recevant du public (EPR)</t>
  </si>
  <si>
    <t>Certaines installations classées pour la protection de l’environnement</t>
  </si>
  <si>
    <t>Les immeubles de grande hauteur (IGH)</t>
  </si>
  <si>
    <t>Quelle protection doit avoir un appareil électrique dans une zone ATEX ?</t>
  </si>
  <si>
    <t>Protection de classe 2</t>
  </si>
  <si>
    <t>Protection anti-explosion</t>
  </si>
  <si>
    <t>Les risques professionnels comprennent :</t>
  </si>
  <si>
    <t>Les maladies personnelles</t>
  </si>
  <si>
    <t>Les dommages incorporels des accidents domestiques</t>
  </si>
  <si>
    <t>Les maladies professionnelles</t>
  </si>
  <si>
    <t>Les dommages matériels liés aux accidents du travail</t>
  </si>
  <si>
    <t>Comment sera classée une centrale nucléaire ?</t>
  </si>
  <si>
    <t>Les établissements recevant du public (EPR)</t>
  </si>
  <si>
    <t>Un véhicule transportant des matières dangereuses est-il classé comme ICPE ?</t>
  </si>
  <si>
    <t>Oui, dans tous les cas</t>
  </si>
  <si>
    <t>Oui, mais seulement lorsdqu’il transporte une quantité importante de produit</t>
  </si>
  <si>
    <t>Que est le rôle du CHSCT (avant la réforme du Code du Travail au 31/08/2017)</t>
  </si>
  <si>
    <t>Participe à protéger la santé et la sécurité des directeurs de l’entreprise</t>
  </si>
  <si>
    <t>Participe à protéger la santé et la sécurité des salariés de l’entreprise</t>
  </si>
  <si>
    <t>Participe à financer la retraite des salariés de l’entreprise</t>
  </si>
  <si>
    <t>Quel type de risque n’est pas considéré comme un risque majeur ?</t>
  </si>
  <si>
    <t>Risque naturel</t>
  </si>
  <si>
    <t>Risque technologique</t>
  </si>
  <si>
    <t>Risque lié aux transports collectifs</t>
  </si>
  <si>
    <t>Risque lié aux conflits</t>
  </si>
  <si>
    <t>Un plan de prévention doit être obligatoirement écrit lorsque :</t>
  </si>
  <si>
    <t>Les travaux sont d’une durée totale d’au moins 400 heurs sur 12 mois</t>
  </si>
  <si>
    <t>Les travaux présentent des risques particuliers</t>
  </si>
  <si>
    <t>Lors d’un exercice d’évacuation, vous constatez que les personnels ne respectent pas le point de rassemblement mentionné sur les plans d'évacuation. Que faites-vous ?</t>
  </si>
  <si>
    <t>Vous laissez faire car les personnels sont à l’extérieur de l’immeuble, ce qui est le plus important</t>
  </si>
  <si>
    <t>Vous leur indiquez le point de rassemblement, mais vous laissez faire</t>
  </si>
  <si>
    <t>Pouvez vous utiliser votre téléphone portable personnel sur une zone présentant un pictogramme orange portant l'inscription "EX" ?</t>
  </si>
  <si>
    <t>Le Document Unique (DU) est tenu à la disposition de certains acteurs. Lequel n'y a pas accès ?</t>
  </si>
  <si>
    <t>Sur un site, une personne fume à proximité d’un pictogramme indiquant la présence de matières inflammables : quelle est votre réaction ?</t>
  </si>
  <si>
    <t>Vous prévenez votre PC de sécurité</t>
  </si>
  <si>
    <t>En cas d’absence de prévention ou d’échec de celle-ci, de quels moyens dispose le salarié pour alerter son employeur ou se prémunir d'une situation dangereuse ?</t>
  </si>
  <si>
    <t>Les installations classées pour la protection de l’environnement</t>
  </si>
  <si>
    <t>Participe à protéger exclusivement la santé et la sécurité des clients de l'entreprise</t>
  </si>
  <si>
    <t>Les travaux concernent la coactivité sur les chantiers de bâtiment et de génie civil</t>
  </si>
  <si>
    <t>1 - [UV7] Que signifie le R de N.R.B.C-E ?|Radiologique|Radicalisé|Radioactif|Aucune des autres réponses|Rayonnant|A</t>
  </si>
  <si>
    <t>2 - [UV7] Le Pneumothorax peut être occasionné par :|Toutes les réponses sont bonnes|Une explosion (Blast primaire)|Une perforation par une côte|Une plaie pénétrante par arme blanche|Une plaie pénétrante par balle|A</t>
  </si>
  <si>
    <t>3 - [UV7] Parmi ces infractions, laquelle porte atteinte aux intérêts fondamentaux de la nation ?|La délation|L’abus de droit public|La rébellion|Le sabotage|La violation de domicile|D</t>
  </si>
  <si>
    <t>4 - [UV7] Dans le cadre d’un risque d’attentat, que peut faire le Préfet ?|Décréter l’état d’urgence, mais seulement au niveau “vigilance”|Faire procéder à des fouilles à corps par des ASP|Accroître les contrôles aux frontières|Aucune des autres réponses|Interdire la circulation, instaurer un couvre-feu et limiter les allées/venues des personnes|E</t>
  </si>
  <si>
    <t>5 - [UV7] Témoin direct d’un attentat en cours sur votre site, quelles consignes à suivre sont les plus appropriées ?|Alerter les personnes autour de vous|Si possible, aider les autres personnes à s’échapper|Laisser vos affaires derrière vous|Si vous ne pouvez pas courir, se confiner, éteindre la lumière et couper le son des appareils à proximité|Toutes les réponses précédentes sont exactes|E</t>
  </si>
  <si>
    <t>6 - [UV11] Un groupe d’individus cagoulés et armés pénètre dans votre établissement et vous êtes seul : que faites-vous ?|J’appelle la relève pour me venir en aide le plus tôt possible|Je m’enfuis et je fais appel aux forces de l’ordre le plus rapidement possible|Je m’enfuis si je peux ou sinon je me confine, et je contacte le 114 par sms|Aucune des autres réponses|Je dois agir physiquement pour les expulser de l’établissement|C</t>
  </si>
  <si>
    <t>7 - [UV9] Un agent de prévention et de sécurité a-t-il le droit de pratiquer des palpations de sécurité lors de manifestations sportives, récréatives ou culturelles ?|Oui, en toutes circonstances|Oui, s’il est habilité par son entreprise|Non, sauf s’il est habilité par son employeur|Aucune des autres réponses|Oui, si la manifestation dépasse 300 personnes et sous le contrôle d’un OPJ et que la personne palpée soit du même sexe que l’agent de sécurité|E</t>
  </si>
  <si>
    <t>8 - [UV9] Je suis agent dans un établissement : sous quelles conditions ai-je le droit d’inspecter des sacs ?|Je peux faire une inspection visuelle même si ce n’est pas dans les consignes|Aucune des autres réponses|Si c’est prévu dans les consignes, je peux fouiller les sacs sans avoir besoin du consentement du propriétaire|J’ai le droit de faire une inspection visuelle des bagages et, avec le consentement de leur propriétaire, à leur fouille|Je peux vérifier visuellement et fouiller tous les sacs|D</t>
  </si>
  <si>
    <t>9 - [UV11] En cas de détection incendie, sur quelle unité le voyant est-il lumineux ?|D.A.S.|C.M.S.I.|S.M.S.I.|S.D.I.|Aucune des réponses précédentes|D</t>
  </si>
  <si>
    <t>10 - [UV7] Que dois-je regarder pour détecter un potentiel terroriste ?|Son comportement|La pratique de sa religion|Aucune des autres réponses|Ses antécédents judiciaires|Son apparence physique|A</t>
  </si>
  <si>
    <t>11 - [UV7] Qu’est-ce que la zone d’exclusion dans un périmètre de sécurité immédiat ?|La zone de prise en charge par les secours|La zone de danger et d’intervention|La zone de commandement des forces de l’ordre|Aucune des autres réponses|La zone d’accueil des force de l’ordre et des secours|B</t>
  </si>
  <si>
    <t>12 - [UV2] Un revolver chambré pour le calibre 38 spécial est une arme de catégorie :|C|D|A|Aucune des autres réponses|B|B</t>
  </si>
  <si>
    <t>13 - [UV2] Le vol avec arme est qualifié de :|Crime terroriste|Aucune des autres réponses|Délit qualifié|Délit aggravé|Crime|E</t>
  </si>
  <si>
    <t>14 - [UV12] Lorsque des véhicules sont susceptibles de pénétrer au sein de périmètre de protection (L266-1 du CSI), la loi peut également en subordonner l’accès à l’inspection visuelle du contenu du véhicule :|Sans le consentement de son conducteur, par un agent de prévention et de sécurité|Sans le consentement de son conducteur, par un agent de prévention et de sécurité mais sous le contrôle d’un OPJ|Avec le consentement de son conducteur, par un agent de prévention et de sécurité|Avec le consentement de son conducteur, par un agent de prévention et de sécurité placé sous l’autorité d’un OPJ|Aucune des autres réponses|E</t>
  </si>
  <si>
    <t>15 - [UV12] Le fait d’accéder frauduleusement à des données informatiques issues d’images de vidéosurveillance constitue l’infraction de :|Atteinte au système de traitement automatisé de données|Entrave à la libre circulation des données|Dégradation ou détérioration d’un système de traitement de données informatiques |Aucune des autres réponses|Vol de données informatiques|A</t>
  </si>
  <si>
    <t>16 - [UV12] Que signifie l’acronyme P.I.F. dans le cadre d’un système de sécurité lors d’un événement ?|Point ou Poste d’Inspection Filtrage|Poste Itinérant de Filtrage|Passage Interdit à la Foule|Aucune des autres réponses|Permis d’Inspection et de Fouille|A</t>
  </si>
  <si>
    <t>17 - [UV12] Le plan ORSEC est :|Aucune des autres réponses|Un plan de limitation des déplacements dans le cadre du plan Vigipirates “Urgence Attentat”|Un plan d’Organisation de la Réponses de la Sécurité Civile|Un plan de circulation des riverains lors des événement culturels ou festifs|Un plan d’intervention coordonné des forces de l’ordre publiques et privées|C</t>
  </si>
  <si>
    <t>18 - [UV8] Suite à un vol dans un magasin, le chef de poste du PCS reçoit les forces de l’ordre et il peut déposer plainte :|Non, car c’est du ressort exclusif d’un responsable du magasin habilité|Oui, seulement en l’absence du responsable du magasin|Aucune des autres réponses|Oui, car il est le chef de poste et il est donc habilité à déposer plainte|Oui, s’il a l’accord du responsable du magasin|A</t>
  </si>
  <si>
    <t>19 - [UV8] Une zone de protection périphérique concerne :|Un objet précis|Aucune des autres réponses|Un local|Une vitrine|Une clôture|E</t>
  </si>
  <si>
    <t>20 - [UV8] Une zone de protection ponctuelle concerne :|Un local|Aucune des autres réponses|Une vitrine|Une clôture|Un objet précis|E</t>
  </si>
  <si>
    <t>21 - [UV8] Les convoyeurs de fonds peuvent-ils être armés lorsqu’ils effectuent en véhicule banalisé un transport de fonds, bijoux ou métaux précieux ?|Oui, avec l’autorisation du Préfet|Non, ils ne peuvent pas être armés|Oui, si la valeur des biens est supérieure à 1,3 millions d’euros|Aucune des autres réponses|Oui sur ordre de la société|B</t>
  </si>
  <si>
    <t>22 - [UV7] Que signifie NRBC-E ?|Nationaliste-Radiologique-Bactériologique-Cyberterrorisme et Explosive|Nucléaire-Radiologique-Biologique-Chimique et Explosive|Nucléaire-Radiotechnologique-Bactériologique-Catastrophique et Explosive|Nationaliste-Régionaliste-Bracage-Contrôle et Enlèvement|Aucune des autres réponses|B</t>
  </si>
  <si>
    <t>23 - [UV7] En cas de plan Vigipirate, l’accès à n’importe quel établissement peut être soumis à une palpation de sécurité : qui peut en décider ?|Le Préfet par un arrêté spécifique|L’agent de sécurité si les consignes spéciales le prévoyants|Le chef d’établissement dans son règlement intérieur|Le CNAPS par une circulaire ministérielle|Aucune des autres réponses|A</t>
  </si>
  <si>
    <t>24 - [UV7] Qu’est-ce que l’état d’urgence ?|Un régime exceptionnel qui permet à l’Etat français de gérer une crise|Un régime qui donne des pouvoirs supplémentaires aux agents de prévention et de sécurité|Un régime continu servant à instaurer un climat de sécurité au peuple|Un régime totalitaire qui octroie les pleins pouvoirs au Président de la République|Aucune des autres réponses|A</t>
  </si>
  <si>
    <t>25 - [UV7] Suite à une blessure par balle sur le torse d’une victime, comment puis-je la secourir sans provoquer un pneumothorax ?|Aucune des autres réponses|En posant dès que possible un garrot|En réalisant un pansement 3 côtés|En bouchant le trou formé par l’impact avec ma main|En mettant en place la réanimation cardio-pulmonaire|C</t>
  </si>
  <si>
    <t>26 - [UV7] Quelles sont les grandes priorités de réaction que je dois adopter face à une attaque terroriste ?|Courir, m'enfermer, appeler, attaquer si nécessaire|M’échapper, me cacher, secourir, combattre systématiquement|Alerter, éteindre, méloigner, boxer|Aucune des autres réponses|A</t>
  </si>
  <si>
    <t>27 - [UV7] Qu’est-ce que le terrorisme d’Etat ?|Aucune des autres réponses|Lorsqu’un peuple terrorise son gouvernement|Lorsqu’un Etat terrorise son peuple|Lorsqu’un Etat combat de le terrorisme à l’intérieur de ses frontières|Lorsqu’une organisation terroriste veut prendre le pouvoir d’un Etat|C</t>
  </si>
  <si>
    <t>28 - [UV2] Un agent de sécurité exerçant ses fonctions dans un parc d’attraction peut-il appréhender un individu qui y entre avec une matraque et tente d’agresser un salarié du parc ?|Il peut juste l’aborder mais il ne peut pas l’appréhender en vertu de l’art. 73 du CPP|Aucune des autres réponses|Oui, car il sera dans le cadre de l’état de nécessité prévu dans l’art. 121-2 du Code Pénal|Non, car il n’y a pas d’infraction prévue pour ce type de fait|Le port d’une matraque constituant un délit, il peut appréhender l’individu au titre de l’art. 73 du CPP|E</t>
  </si>
  <si>
    <t>29 - [UV2] Un agent de sécurité privé peut être sanctionné par le CNAPS :|À une pénalité financière mais sans limite prise en charge par l’entreprise|À aucune pénalité financière|À une pénalité financière allant jusqu’à 10 000 euros|À une pénalité financière allant jusqu’à 7 500 euros|À une pénalité financière inférieure à 1 500 euros|D</t>
  </si>
  <si>
    <t>30 - [UV12] À quoi peut servir un PPI/POI/PER ?|Aucune des autres réponses|À coordonner les moyens internes des installations classées|À prévoir la mobilisation des services de secours publics|À protéger les installations recevant du public|À planifier les opérations de maintien de l’ordre|C</t>
  </si>
  <si>
    <t>31 - [UV12] Il est puni par le code du sport (L332-3) dans une enceinte sportive, lors du déroulement ou de la retransmission en public d’une manifestation sportive :|Le fait d’introduire ou de tenter d’introduire, par force ou par fraude, des boissons alcoolisées|Toutes les réponses sont exactes|Le fait d’avoir, en état d’ivresse, pénétré ou tenté de pénétrer par force ou par fraude|D’un an d’emprisonnement ou d’amende|Le fait d’accéder en état d’ivresse|A</t>
  </si>
  <si>
    <t>32 - [UV12] Les organisateurs de manifestations sportives, récréatives ou culturelles sont tenus (R211-22 du CSI) :|D’en faire la déclaration uniquement si elles sont sur la liste des événements exposés|D’en faire la déclaration au Préfet de région au moins un an avant l’événement|D’en faire la déclaration aux maires ou aux Préfets de police, si la manifestation peut atteindre plus de 1500 personnes|Aucune des autres réponses|D’en faire la déclaration aux maires si la manifestation peut atteindre plus de 300 personnes et aux Préfets si elle dépasse plus de 1500 personnes|C</t>
  </si>
  <si>
    <t>33 - [UV9] Je suis agent dans un magasin : sous quelles conditions ai-je le droit d’inspecter des sacs ?|Je peux faire une inspection visuelle, dès lors que j’ai un doute|Je peux vérifier visuellement et fouiller les sacs sans avoir besoin du consentement du propriétaire|Aucune des autres réponses|J’ai le droit de faire une inspection visuelle des bagages et, avec le consentement de leur propriétaire, à leur fouille|Si c’est prévu dans les consignes, je peux vérifier visuellement et fouiller les sacs sans avoir besoin du consentement du propriétaires|D</t>
  </si>
  <si>
    <t>34 - [UV8] Qu’est-ce qu’une zone de protection ?|Lieu protégé par des filets empêchant l’introduction de pigeons dans le site|Lieu protégé par des paroies possédant une isolation phonique|Aucune des autres réponses|Lieu protégé contre les intempéries|Lieu protégé par un obstacle s’opposant à pénétration d’intrus dans le site|E</t>
  </si>
  <si>
    <t>35 - [UV8] Un point dit vulnérable lors d’une ronde est :|Un point comportant un danger permanent|Un point qui en cas d’atteinte pourrait handicaper le bon fonctionnement de l’entreprise|Un point régulièrement mis en défaut|Aucune des autres réponses|Un point sensible convoité par les voleurs|B</t>
  </si>
  <si>
    <t>36 - [UV8] Pendant votre ronde, vous découvrez un local en désordre avec un pied de biche au sol. Que faites-vous ?|Vous ramassez le pied de biche afin d’avoir un objet pour vous défendre|Vous prévenez immédiatement le PCS et inspecter prudemment les locaux voisins|Aucune des autres réponses|Vous ne faites rien et continuez votre rondre, c’est sûrement le bureau d’un salarié désordonné|Vous refermez la porte et prévenez le PCS|B</t>
  </si>
  <si>
    <t>37 - [UV6] Un agent de sécurité privé masculin doit appréhender un voleur en sortie de caisse, mais il s’agit d’une femme :|Il doit appeler une collègue du même sexe|Il agit normalement, néanmoins il est conseillé d’appeler un témoin féminin|Aucune des autres réponses|Il doit demander l’autorisation de la personne|Il ne peut rien faire sur une personne de sexe opposé|B</t>
  </si>
  <si>
    <t>38 - [UV2] Les agents de sécurité employés par un bailleur d’immeuble à usage d’habitations peuvent être armés :|D’un bâton de défense de type TONFA|D’un fusil à pompe|D’une grenade lacrymogène ayant une capacité inférieure à 100 ml|Aucune des autres réponses|D’un pistolet mitrailleur|A</t>
  </si>
  <si>
    <t>39 - [UV12] Le schéma d’installation de la vidéoprotection permet :|D’installer, de maintenir et de mettre à disposition des prestataires des images|De capter, de transmettre, de stocker, de visionner les images|Aucune des autres réponses|De garantir aux forces de l’ordre la bonne réalisation de la mission de sûreté|De compléter le système de surveillance incendie|B</t>
  </si>
  <si>
    <t>40 - [UV12] À quoi correspond une crash barrière ?|Aucune des autres réponses|Un système de barrière type passage à niveau pour bloquer les accès|Des barrières de sécurité équipés de pieds empêchant le renversement|Un test en laboratoire de la résistance des barrières|L’action de lancer des barrières sur des véhicules voulant forcer l’accès|C</t>
  </si>
  <si>
    <t>41 - [UV12] Un APS effectue une ronde dans la chaufferie gaz, il peut y entrer si :|Il dispose d’une radio fabriquée après le 1er juillet 2017|Il dispose d’un matériel anti-déflagrant|Il dispose d’un émetteur multi-fréquences|Il dispose d’une pastille de détection de gaz homologuée|Aucune des autres réponses|B</t>
  </si>
  <si>
    <t>42 - [UV11] Sur votre GTB/GTC vous recevez une alarme SURCHAUFF au niveau de la chaufferie. Que devez-vous faire en premier ?|Aucune des autres réponses|Arrêter le signal sonore de l’alarme|Appeler les services de secours|Couper la chaudière|Appeler le technicien compétent|B</t>
  </si>
  <si>
    <t>43 - [UV11] En vous rendant sur une levée de doute intrusion, votre PC vous appelle car une détection incendie vient d’avoir lieu. Que faites-vous ?|Je termine la levée de doute intrusion sans effectuer les contrôles de rigueur pour aller sur la levée de doute incendie|Je fais demi-tour et priorise la détection incendie dont la gravité peut être supérieure|Aucune des autres réponses|Je poursuis la levée de doute intrusion, étant presque arrivé|Je demande au chef de poste d’effectuer lui-même la levée de doute incendie|B</t>
  </si>
  <si>
    <t>44 - [UV11] En cas d’alarme observée sur la centrale incendie, quelle est généralement la procédure à suivre ?|Appel de l’astreinte incendie, attente des secours, intervention éventuelle sur le feu|Acquittement du signal sonore, lecture de l’information, levée de doute, plan d’action conforme aux consignes du site|Aucune des autres réponses|Levée de doute, appel des secours, retour au PCS|Intervention immédiate sur feu, appel des secours, réinitialisation central incendie|B</t>
  </si>
  <si>
    <t>45 - [UV9] Quelles sont les méthodes pour les agents masculins pour effectuer des vérifications de sécurité sur des femmes qui sont au contrôle d’accès :|Les palpations de sécurité|La fouille à corps uniquement avec le consentement de la personne|La fouille au corps|Aucune des autres réponses|Le contrôle visuel des bagages|E</t>
  </si>
  <si>
    <t>46 - [UV9] Dans quelle situation puis-je effectuer des palpations de sécurité ?|Dans tout le magasin sur des personnes soupçonnées de vouloir fumer|À l’intérieur d’une salle de concert à la demande du chef de poste|Dans tout lieu visé par un arrêté préfectoral|À la sortie du magasin sur un individu connu pour des actes de vol|Aucune des autres réponses|C</t>
  </si>
  <si>
    <t>47 - [UV8] Certaines circonstances peuvent aggraver le vol. Par exemple quand le vol est commis :|Par plusieurs personnes|Chez une personne dépositaire de l’autorité publique|Sur une personne dans la journée|Aucune des autres réponses|Dans un local sous surveillance électronique|A</t>
  </si>
  <si>
    <t>48 - [UV7] Dès l’arrivée des forces de l’ordre, dans une zone d’attentat, vous devez en premier :|Leur parler de la situation|Courir vers eux|Leur indiquer l’emplacement des victimes|Suivre leurs instructions|Aucune des autres réponses|D</t>
  </si>
  <si>
    <t>49 - [UV7] Parmi les types de “BLAST” suivants, lequel ou lesquels existent ?|BLAST primaire|BLAST tertiaire|BLAST quaternaire|Toutes les réponses précédentes sont exactes|BLAST secondaire|D</t>
  </si>
  <si>
    <t>50 - [UV2] Agent de sécurité, je dispose d’un véhicule d’entreprise équipé d’un gyrophare orange :|Aucune des autres réponses|C’est absolument interdit|C’est autorisé uniquement à l’intérieur des sites surveillés, si les consignes le prévoient|Seuls les gyrophares bleus sont autorisés pour les agents de sécurité|C’est interdit, sauf en situation d’urgence attentat|C</t>
  </si>
  <si>
    <t>51 - [UV2] Selon la loi, est une arme par destination :|Tout objet conçu pour usage professionnel|Tout objet conçu pour tuer ou blesser|Aucune des autres réponses|Tout objet susceptible de présenter un danger pour des personnes, dès lors qu’il est utilisé pour menacer|Tout objet pouvant causer des dommages|D</t>
  </si>
  <si>
    <t>52 - [UV11] Le report d’alarme d’une centrale intrusion est un dispositif :|Uniquement destiné aux équipes de sûreté en cas d’intrusion|De secours en cas de défaillance du clavier principal|Qui permet aux agents d’accéder à certaines informations hors du PCS|De cloisonnement anti-intrusion indépendant du système central|Aucune des autres réponses|C</t>
  </si>
  <si>
    <t>53 - [UV14] Dans quel document l’APS peut trouver les mesures opératoires des secours extérieurs lors d’un sinistre majeur ?|Le Plan des Opérations Externes (P.O.E.)|Le Plan Particulier d’Intervention (P.P.I. ou équivalent)|Le Plan de Secours Extérieurs (P.S.E.)|Le Plan Particulier des Risques Majeurs (P.P.R.M.)|Aucune des autres réponses|B</t>
  </si>
  <si>
    <t>54 - [UV14] Quand doit-on rédiger notamment impérativement un Plan de Prévention ?|En cas de travaux dangereux listés dans l’arrêté du 19 mars 1993|Uniquement lorsque les consignes de sûreté le prévoient|Si vous estimez que l’importance des travaux le nécessitent|Uniquement sur demande explicite du client|Aucune des autres réponses|A</t>
  </si>
  <si>
    <t>55 - [UV14] Quel est l’objectif général de la prévention ?|Définir les mesures de sûreté|Protéger l’employeur du risque pénal|Améliorer les statistiques concernant les taux d’accidents|Éviter ou limiter les dommages|Aucune des autres réponses|D</t>
  </si>
  <si>
    <t>Radiologique</t>
  </si>
  <si>
    <t>Radicalisé</t>
  </si>
  <si>
    <t>Radioactif</t>
  </si>
  <si>
    <t>Rayonnant</t>
  </si>
  <si>
    <t>[UV7] Le Pneumothorax peut être occasionné par :</t>
  </si>
  <si>
    <t>Une explosion (Blast primaire)</t>
  </si>
  <si>
    <t>Une perforation par une côte</t>
  </si>
  <si>
    <t>Une plaie pénétrante par arme blanche</t>
  </si>
  <si>
    <t>Une plaie pénétrante par balle</t>
  </si>
  <si>
    <t>[UV7] Parmi ces infractions, laquelle porte atteinte aux intérêts fondamentaux de la nation ?</t>
  </si>
  <si>
    <t>La délation</t>
  </si>
  <si>
    <t>L’abus de droit public</t>
  </si>
  <si>
    <t>La rébellion</t>
  </si>
  <si>
    <t>Le sabotage</t>
  </si>
  <si>
    <t>La violation de domicile</t>
  </si>
  <si>
    <t>[UV7] Dans le cadre d’un risque d’attentat, que peut faire le Préfet ?</t>
  </si>
  <si>
    <t>Décréter l’état d’urgence, mais seulement au niveau “vigilance”</t>
  </si>
  <si>
    <t>Faire procéder à des fouilles à corps par des ASP</t>
  </si>
  <si>
    <t>Accroître les contrôles aux frontières</t>
  </si>
  <si>
    <t>Interdire la circulation, instaurer un couvre-feu et limiter les allées/venues des personnes</t>
  </si>
  <si>
    <t>[UV7] Témoin direct d’un attentat en cours sur votre site, quelles consignes à suivre sont les plus appropriées ?</t>
  </si>
  <si>
    <t>Alerter les personnes autour de vous</t>
  </si>
  <si>
    <t>Si possible, aider les autres personnes à s’échapper</t>
  </si>
  <si>
    <t>Laisser vos affaires derrière vous</t>
  </si>
  <si>
    <t>Si vous ne pouvez pas courir, se confiner, éteindre la lumière et couper le son des appareils à proximité</t>
  </si>
  <si>
    <t>[UV11] Un groupe d’individus cagoulés et armés pénètre dans votre établissement et vous êtes seul : que faites-vous ?</t>
  </si>
  <si>
    <t>J’appelle la relève pour me venir en aide le plus tôt possible</t>
  </si>
  <si>
    <t>Je m’enfuis et je fais appel aux forces de l’ordre le plus rapidement possible</t>
  </si>
  <si>
    <t>Je m’enfuis si je peux ou sinon je me confine, et je contacte le 114 par sms</t>
  </si>
  <si>
    <t>Je dois agir physiquement pour les expulser de l’établissement</t>
  </si>
  <si>
    <t>[UV9] Un agent de prévention et de sécurité a-t-il le droit de pratiquer des palpations de sécurité lors de manifestations sportives, récréatives ou culturelles ?</t>
  </si>
  <si>
    <t>Oui, en toutes circonstances</t>
  </si>
  <si>
    <t>Oui, s’il est habilité par son entreprise</t>
  </si>
  <si>
    <t>Non, sauf s’il est habilité par son employeur</t>
  </si>
  <si>
    <t>Oui, si la manifestation dépasse 300 personnes et sous le contrôle d’un OPJ et que la personne palpée soit du même sexe que l’agent de sécurité</t>
  </si>
  <si>
    <t>[UV9] Je suis agent dans un établissement : sous quelles conditions ai-je le droit d’inspecter des sacs ?</t>
  </si>
  <si>
    <t>Je peux faire une inspection visuelle même si ce n’est pas dans les consignes</t>
  </si>
  <si>
    <t>Si c’est prévu dans les consignes, je peux fouiller les sacs sans avoir besoin du consentement du propriétaire</t>
  </si>
  <si>
    <t>J’ai le droit de faire une inspection visuelle des bagages et, avec le consentement de leur propriétaire, à leur fouille</t>
  </si>
  <si>
    <t>Je peux vérifier visuellement et fouiller tous les sacs</t>
  </si>
  <si>
    <t>[UV11] En cas de détection incendie, sur quelle unité le voyant est-il lumineux ?</t>
  </si>
  <si>
    <t>D.A.S.</t>
  </si>
  <si>
    <t>C.M.S.I.</t>
  </si>
  <si>
    <t>S.M.S.I.</t>
  </si>
  <si>
    <t>S.D.I.</t>
  </si>
  <si>
    <t>[UV7] Que dois-je regarder pour détecter un potentiel terroriste ?</t>
  </si>
  <si>
    <t>Son comportement</t>
  </si>
  <si>
    <t>La pratique de sa religion</t>
  </si>
  <si>
    <t>Ses antécédents judiciaires</t>
  </si>
  <si>
    <t>Son apparence physique</t>
  </si>
  <si>
    <t>[UV7] Qu’est-ce que la zone d’exclusion dans un périmètre de sécurité immédiat ?</t>
  </si>
  <si>
    <t>La zone de prise en charge par les secours</t>
  </si>
  <si>
    <t>La zone de danger et d’intervention</t>
  </si>
  <si>
    <t>La zone de commandement des forces de l’ordre</t>
  </si>
  <si>
    <t>[UV2] Un revolver chambré pour le calibre 38 spécial est une arme de catégorie :</t>
  </si>
  <si>
    <t>[UV2] Le vol avec arme est qualifié de :</t>
  </si>
  <si>
    <t>Crime terroriste</t>
  </si>
  <si>
    <t>Délit qualifié</t>
  </si>
  <si>
    <t>Délit aggravé</t>
  </si>
  <si>
    <t>Crime</t>
  </si>
  <si>
    <t>Avec le consentement de son conducteur, par un agent de prévention et de sécurité placé sous l’autorité d’un OPJ</t>
  </si>
  <si>
    <t>[UV12] Le fait d’accéder frauduleusement à des données informatiques issues d’images de vidéosurveillance constitue l’infraction de :</t>
  </si>
  <si>
    <t>Atteinte au système de traitement automatisé de données</t>
  </si>
  <si>
    <t>Entrave à la libre circulation des données</t>
  </si>
  <si>
    <t xml:space="preserve">Dégradation ou détérioration d’un système de traitement de données informatiques </t>
  </si>
  <si>
    <t>[UV12] Que signifie l’acronyme P.I.F. dans le cadre d’un système de sécurité lors d’un événement ?</t>
  </si>
  <si>
    <t>Point ou Poste d’Inspection Filtrage</t>
  </si>
  <si>
    <t>Poste Itinérant de Filtrage</t>
  </si>
  <si>
    <t>Passage Interdit à la Foule</t>
  </si>
  <si>
    <t>Permis d’Inspection et de Fouille</t>
  </si>
  <si>
    <t>[UV12] Le plan ORSEC est :</t>
  </si>
  <si>
    <t>Un plan de limitation des déplacements dans le cadre du plan Vigipirates “Urgence Attentat”</t>
  </si>
  <si>
    <t>Un plan de circulation des riverains lors des événement culturels ou festifs</t>
  </si>
  <si>
    <t>Un plan d’intervention coordonné des forces de l’ordre publiques et privées</t>
  </si>
  <si>
    <t>[UV8] Suite à un vol dans un magasin, le chef de poste du PCS reçoit les forces de l’ordre et il peut déposer plainte :</t>
  </si>
  <si>
    <t>Non, car c’est du ressort exclusif d’un responsable du magasin habilité</t>
  </si>
  <si>
    <t>Oui, seulement en l’absence du responsable du magasin</t>
  </si>
  <si>
    <t>Oui, car il est le chef de poste et il est donc habilité à déposer plainte</t>
  </si>
  <si>
    <t>Oui, s’il a l’accord du responsable du magasin</t>
  </si>
  <si>
    <t>[UV8] Une zone de protection périphérique concerne :</t>
  </si>
  <si>
    <t>[UV8] Une zone de protection ponctuelle concerne :</t>
  </si>
  <si>
    <t>[UV8] Les convoyeurs de fonds peuvent-ils être armés lorsqu’ils effectuent en véhicule banalisé un transport de fonds, bijoux ou métaux précieux ?</t>
  </si>
  <si>
    <t>Oui, avec l’autorisation du Préfet</t>
  </si>
  <si>
    <t>Non, ils ne peuvent pas être armés</t>
  </si>
  <si>
    <t>Oui, si la valeur des biens est supérieure à 1,3 millions d’euros</t>
  </si>
  <si>
    <t>Oui sur ordre de la société</t>
  </si>
  <si>
    <t>[UV7] Que signifie NRBC-E ?</t>
  </si>
  <si>
    <t>Nationaliste-Radiologique-Bactériologique-Cyberterrorisme et Explosive</t>
  </si>
  <si>
    <t>Nucléaire-Radiologique-Biologique-Chimique et Explosive</t>
  </si>
  <si>
    <t>Nucléaire-Radiotechnologique-Bactériologique-Catastrophique et Explosive</t>
  </si>
  <si>
    <t>Nationaliste-Régionaliste-Bracage-Contrôle et Enlèvement</t>
  </si>
  <si>
    <t>[UV7] En cas de plan Vigipirate, l’accès à n’importe quel établissement peut être soumis à une palpation de sécurité : qui peut en décider ?</t>
  </si>
  <si>
    <t>Le Préfet par un arrêté spécifique</t>
  </si>
  <si>
    <t>L’agent de sécurité si les consignes spéciales le prévoyants</t>
  </si>
  <si>
    <t>Le chef d’établissement dans son règlement intérieur</t>
  </si>
  <si>
    <t>Le CNAPS par une circulaire ministérielle</t>
  </si>
  <si>
    <t>[UV7] Qu’est-ce que l’état d’urgence ?</t>
  </si>
  <si>
    <t>Un régime exceptionnel qui permet à l’Etat français de gérer une crise</t>
  </si>
  <si>
    <t>Un régime qui donne des pouvoirs supplémentaires aux agents de prévention et de sécurité</t>
  </si>
  <si>
    <t>Un régime continu servant à instaurer un climat de sécurité au peuple</t>
  </si>
  <si>
    <t>Un régime totalitaire qui octroie les pleins pouvoirs au Président de la République</t>
  </si>
  <si>
    <t>[UV7] Suite à une blessure par balle sur le torse d’une victime, comment puis-je la secourir sans provoquer un pneumothorax ?</t>
  </si>
  <si>
    <t>En posant dès que possible un garrot</t>
  </si>
  <si>
    <t>En réalisant un pansement 3 côtés</t>
  </si>
  <si>
    <t>En bouchant le trou formé par l’impact avec ma main</t>
  </si>
  <si>
    <t>En mettant en place la réanimation cardio-pulmonaire</t>
  </si>
  <si>
    <t>[UV7] Quelles sont les grandes priorités de réaction que je dois adopter face à une attaque terroriste ?</t>
  </si>
  <si>
    <t>Courir, m'enfermer, appeler, attaquer si nécessaire</t>
  </si>
  <si>
    <t>M’échapper, me cacher, secourir, combattre systématiquement</t>
  </si>
  <si>
    <t>[UV7] Qu’est-ce que le terrorisme d’Etat ?</t>
  </si>
  <si>
    <t>Lorsqu’un peuple terrorise son gouvernement</t>
  </si>
  <si>
    <t>Lorsqu’un Etat terrorise son peuple</t>
  </si>
  <si>
    <t>Lorsqu’un Etat combat de le terrorisme à l’intérieur de ses frontières</t>
  </si>
  <si>
    <t>Lorsqu’une organisation terroriste veut prendre le pouvoir d’un Etat</t>
  </si>
  <si>
    <t>[UV2] Un agent de sécurité exerçant ses fonctions dans un parc d’attraction peut-il appréhender un individu qui y entre avec une matraque et tente d’agresser un salarié du parc ?</t>
  </si>
  <si>
    <t>Il peut juste l’aborder mais il ne peut pas l’appréhender en vertu de l’art. 73 du CPP</t>
  </si>
  <si>
    <t>Oui, car il sera dans le cadre de l’état de nécessité prévu dans l’art. 121-2 du Code Pénal</t>
  </si>
  <si>
    <t>Non, car il n’y a pas d’infraction prévue pour ce type de fait</t>
  </si>
  <si>
    <t>Le port d’une matraque constituant un délit, il peut appréhender l’individu au titre de l’art. 73 du CPP</t>
  </si>
  <si>
    <t>[UV2] Un agent de sécurité privé peut être sanctionné par le CNAPS :</t>
  </si>
  <si>
    <t>À une pénalité financière mais sans limite prise en charge par l’entreprise</t>
  </si>
  <si>
    <t>À aucune pénalité financière</t>
  </si>
  <si>
    <t>À une pénalité financière allant jusqu’à 10 000 euros</t>
  </si>
  <si>
    <t>À une pénalité financière allant jusqu’à 7 500 euros</t>
  </si>
  <si>
    <t>À une pénalité financière inférieure à 1 500 euros</t>
  </si>
  <si>
    <t>[UV12] À quoi peut servir un PPI/POI/PER ?</t>
  </si>
  <si>
    <t>À coordonner les moyens internes des installations classées</t>
  </si>
  <si>
    <t>À prévoir la mobilisation des services de secours publics</t>
  </si>
  <si>
    <t>À protéger les installations recevant du public</t>
  </si>
  <si>
    <t>À planifier les opérations de maintien de l’ordre</t>
  </si>
  <si>
    <t>[UV12] Il est puni par le code du sport (L332-3) dans une enceinte sportive, lors du déroulement ou de la retransmission en public d’une manifestation sportive :</t>
  </si>
  <si>
    <t>Le fait d’introduire ou de tenter d’introduire, par force ou par fraude, des boissons alcoolisées</t>
  </si>
  <si>
    <t>Le fait d’avoir, en état d’ivresse, pénétré ou tenté de pénétrer par force ou par fraude</t>
  </si>
  <si>
    <t>D’un an d’emprisonnement ou d’amende</t>
  </si>
  <si>
    <t>Le fait d’accéder en état d’ivresse</t>
  </si>
  <si>
    <t>[UV12] Les organisateurs de manifestations sportives, récréatives ou culturelles sont tenus (R211-22 du CSI) :</t>
  </si>
  <si>
    <t>D’en faire la déclaration au Préfet de région au moins un an avant l’événement</t>
  </si>
  <si>
    <t>D’en faire la déclaration aux maires ou aux Préfets de police, si la manifestation peut atteindre plus de 1500 personnes</t>
  </si>
  <si>
    <t>D’en faire la déclaration aux maires si la manifestation peut atteindre plus de 300 personnes et aux Préfets si elle dépasse plus de 1500 personnes</t>
  </si>
  <si>
    <t>[UV9] Je suis agent dans un magasin : sous quelles conditions ai-je le droit d’inspecter des sacs ?</t>
  </si>
  <si>
    <t>Je peux faire une inspection visuelle, dès lors que j’ai un doute</t>
  </si>
  <si>
    <t>Je peux vérifier visuellement et fouiller les sacs sans avoir besoin du consentement du propriétaire</t>
  </si>
  <si>
    <t>Si c’est prévu dans les consignes, je peux vérifier visuellement et fouiller les sacs sans avoir besoin du consentement du propriétaires</t>
  </si>
  <si>
    <t>[UV8] Qu’est-ce qu’une zone de protection ?</t>
  </si>
  <si>
    <t>Lieu protégé par des filets empêchant l’introduction de pigeons dans le site</t>
  </si>
  <si>
    <t>Lieu protégé par des paroies possédant une isolation phonique</t>
  </si>
  <si>
    <t>Lieu protégé contre les intempéries</t>
  </si>
  <si>
    <t>Lieu protégé par un obstacle s’opposant à pénétration d’intrus dans le site</t>
  </si>
  <si>
    <t>[UV8] Un point dit vulnérable lors d’une ronde est :</t>
  </si>
  <si>
    <t>Un point régulièrement mis en défaut</t>
  </si>
  <si>
    <t>Un point sensible convoité par les voleurs</t>
  </si>
  <si>
    <t>[UV8] Pendant votre ronde, vous découvrez un local en désordre avec un pied de biche au sol. Que faites-vous ?</t>
  </si>
  <si>
    <t>Vous ramassez le pied de biche afin d’avoir un objet pour vous défendre</t>
  </si>
  <si>
    <t>Vous refermez la porte et prévenez le PCS</t>
  </si>
  <si>
    <t>[UV6] Un agent de sécurité privé masculin doit appréhender un voleur en sortie de caisse, mais il s’agit d’une femme :</t>
  </si>
  <si>
    <t>Il doit appeler une collègue du même sexe</t>
  </si>
  <si>
    <t>Il agit normalement, néanmoins il est conseillé d’appeler un témoin féminin</t>
  </si>
  <si>
    <t>Il doit demander l’autorisation de la personne</t>
  </si>
  <si>
    <t>Il ne peut rien faire sur une personne de sexe opposé</t>
  </si>
  <si>
    <t>[UV2] Les agents de sécurité employés par un bailleur d’immeuble à usage d’habitations peuvent être armés :</t>
  </si>
  <si>
    <t>D’un fusil à pompe</t>
  </si>
  <si>
    <t>D’une grenade lacrymogène ayant une capacité inférieure à 100 ml</t>
  </si>
  <si>
    <t>D’un pistolet mitrailleur</t>
  </si>
  <si>
    <t>[UV12] Le schéma d’installation de la vidéoprotection permet :</t>
  </si>
  <si>
    <t>[UV12] À quoi correspond une crash barrière ?</t>
  </si>
  <si>
    <t>Un système de barrière type passage à niveau pour bloquer les accès</t>
  </si>
  <si>
    <t>Un test en laboratoire de la résistance des barrières</t>
  </si>
  <si>
    <t>L’action de lancer des barrières sur des véhicules voulant forcer l’accès</t>
  </si>
  <si>
    <t>[UV12] Un APS effectue une ronde dans la chaufferie gaz, il peut y entrer si :</t>
  </si>
  <si>
    <t>Il dispose d’une radio fabriquée après le 1er juillet 2017</t>
  </si>
  <si>
    <t>Il dispose d’un matériel anti-déflagrant</t>
  </si>
  <si>
    <t>Il dispose d’un émetteur multi-fréquences</t>
  </si>
  <si>
    <t>Il dispose d’une pastille de détection de gaz homologuée</t>
  </si>
  <si>
    <t>[UV11] Sur votre GTB/GTC vous recevez une alarme SURCHAUFF au niveau de la chaufferie. Que devez-vous faire en premier ?</t>
  </si>
  <si>
    <t>Arrêter le signal sonore de l’alarme</t>
  </si>
  <si>
    <t>Appeler les services de secours</t>
  </si>
  <si>
    <t>Couper la chaudière</t>
  </si>
  <si>
    <t>Appeler le technicien compétent</t>
  </si>
  <si>
    <t>[UV11] En vous rendant sur une levée de doute intrusion, votre PC vous appelle car une détection incendie vient d’avoir lieu. Que faites-vous ?</t>
  </si>
  <si>
    <t>Je termine la levée de doute intrusion sans effectuer les contrôles de rigueur pour aller sur la levée de doute incendie</t>
  </si>
  <si>
    <t>Je fais demi-tour et priorise la détection incendie dont la gravité peut être supérieure</t>
  </si>
  <si>
    <t>Je poursuis la levée de doute intrusion, étant presque arrivé</t>
  </si>
  <si>
    <t>Je demande au chef de poste d’effectuer lui-même la levée de doute incendie</t>
  </si>
  <si>
    <t>[UV11] En cas d’alarme observée sur la centrale incendie, quelle est généralement la procédure à suivre ?</t>
  </si>
  <si>
    <t>Appel de l’astreinte incendie, attente des secours, intervention éventuelle sur le feu</t>
  </si>
  <si>
    <t>Acquittement du signal sonore, lecture de l’information, levée de doute, plan d’action conforme aux consignes du site</t>
  </si>
  <si>
    <t>Levée de doute, appel des secours, retour au PCS</t>
  </si>
  <si>
    <t>Intervention immédiate sur feu, appel des secours, réinitialisation central incendie</t>
  </si>
  <si>
    <t>[UV9] Quelles sont les méthodes pour les agents masculins pour effectuer des vérifications de sécurité sur des femmes qui sont au contrôle d’accès :</t>
  </si>
  <si>
    <t>Le contrôle visuel des bagages</t>
  </si>
  <si>
    <t>[UV9] Dans quelle situation puis-je effectuer des palpations de sécurité ?</t>
  </si>
  <si>
    <t>Dans tout le magasin sur des personnes soupçonnées de vouloir fumer</t>
  </si>
  <si>
    <t>À l’intérieur d’une salle de concert à la demande du chef de poste</t>
  </si>
  <si>
    <t>Dans tout lieu visé par un arrêté préfectoral</t>
  </si>
  <si>
    <t>À la sortie du magasin sur un individu connu pour des actes de vol</t>
  </si>
  <si>
    <t>[UV8] Certaines circonstances peuvent aggraver le vol. Par exemple quand le vol est commis :</t>
  </si>
  <si>
    <t>Par plusieurs personnes</t>
  </si>
  <si>
    <t>Chez une personne dépositaire de l’autorité publique</t>
  </si>
  <si>
    <t>Sur une personne dans la journée</t>
  </si>
  <si>
    <t>Dans un local sous surveillance électronique</t>
  </si>
  <si>
    <t>[UV7] Dès l’arrivée des forces de l’ordre, dans une zone d’attentat, vous devez en premier :</t>
  </si>
  <si>
    <t>Leur parler de la situation</t>
  </si>
  <si>
    <t>Courir vers eux</t>
  </si>
  <si>
    <t>Leur indiquer l’emplacement des victimes</t>
  </si>
  <si>
    <t>Suivre leurs instructions</t>
  </si>
  <si>
    <t>[UV7] Parmi les types de “BLAST” suivants, lequel ou lesquels existent ?</t>
  </si>
  <si>
    <t>BLAST primaire</t>
  </si>
  <si>
    <t>BLAST tertiaire</t>
  </si>
  <si>
    <t>BLAST quaternaire</t>
  </si>
  <si>
    <t>BLAST secondaire</t>
  </si>
  <si>
    <t>[UV2] Agent de sécurité, je dispose d’un véhicule d’entreprise équipé d’un gyrophare orange :</t>
  </si>
  <si>
    <t>C’est absolument interdit</t>
  </si>
  <si>
    <t>C’est autorisé uniquement à l’intérieur des sites surveillés, si les consignes le prévoient</t>
  </si>
  <si>
    <t>Seuls les gyrophares bleus sont autorisés pour les agents de sécurité</t>
  </si>
  <si>
    <t>C’est interdit, sauf en situation d’urgence attentat</t>
  </si>
  <si>
    <t>[UV2] Selon la loi, est une arme par destination :</t>
  </si>
  <si>
    <t>Tout objet conçu pour usage professionnel</t>
  </si>
  <si>
    <t>Tout objet conçu pour tuer ou blesser</t>
  </si>
  <si>
    <t>Tout objet susceptible de présenter un danger pour des personnes, dès lors qu’il est utilisé pour menacer</t>
  </si>
  <si>
    <t>Tout objet pouvant causer des dommages</t>
  </si>
  <si>
    <t>[UV11] Le report d’alarme d’une centrale intrusion est un dispositif :</t>
  </si>
  <si>
    <t>Uniquement destiné aux équipes de sûreté en cas d’intrusion</t>
  </si>
  <si>
    <t>De secours en cas de défaillance du clavier principal</t>
  </si>
  <si>
    <t>Qui permet aux agents d’accéder à certaines informations hors du PCS</t>
  </si>
  <si>
    <t>De cloisonnement anti-intrusion indépendant du système central</t>
  </si>
  <si>
    <t>[UV14] Dans quel document l’APS peut trouver les mesures opératoires des secours extérieurs lors d’un sinistre majeur ?</t>
  </si>
  <si>
    <t>Le Plan des Opérations Externes (P.O.E.)</t>
  </si>
  <si>
    <t>Le Plan Particulier d’Intervention (P.P.I. ou équivalent)</t>
  </si>
  <si>
    <t>Le Plan de Secours Extérieurs (P.S.E.)</t>
  </si>
  <si>
    <t>Le Plan Particulier des Risques Majeurs (P.P.R.M.)</t>
  </si>
  <si>
    <t>[UV14] Quand doit-on rédiger notamment impérativement un Plan de Prévention ?</t>
  </si>
  <si>
    <t>En cas de travaux dangereux listés dans l’arrêté du 19 mars 1993</t>
  </si>
  <si>
    <t>Uniquement lorsque les consignes de sûreté le prévoient</t>
  </si>
  <si>
    <t>Si vous estimez que l’importance des travaux le nécessitent</t>
  </si>
  <si>
    <t>Uniquement sur demande explicite du client</t>
  </si>
  <si>
    <t>[UV14] Quel est l’objectif général de la prévention ?</t>
  </si>
  <si>
    <t>Définir les mesures de sûreté</t>
  </si>
  <si>
    <t>Protéger l’employeur du risque pénal</t>
  </si>
  <si>
    <t>Améliorer les statistiques concernant les taux d’accidents</t>
  </si>
  <si>
    <t>Éviter ou limiter les dommages</t>
  </si>
  <si>
    <t>Questions vrac</t>
  </si>
  <si>
    <t>[UV7] Que signifie le R de NRBC-E ?</t>
  </si>
  <si>
    <t>Un plan d’Organisation de la Réponse de la Sécurité Civile</t>
  </si>
  <si>
    <t>[UV12] Lorsque des véhicules sont susceptibles de pénétrer au sein d'un périmètre de protection (L266-1 du CSI), la loi peut également en subordonner l’accès à l’inspection visuelle du contenu du véhicule :</t>
  </si>
  <si>
    <t>La zone d’accueil des forces de l’ordre et des secours</t>
  </si>
  <si>
    <t>Vous prévenez immédiatement le PCS et inspectez prudemment les locaux voisins</t>
  </si>
  <si>
    <t>Vous ne faites rien et continuez votre ronde, c’est sûrement le bureau d’un salarié désordonné</t>
  </si>
  <si>
    <t>Des barrières de sécurité équipées de pieds empêchant le renversement</t>
  </si>
  <si>
    <t>Alerter, éteindre, m'éloigner, boxer</t>
  </si>
  <si>
    <t>UV5 (1)</t>
  </si>
  <si>
    <t>UV5 (2)</t>
  </si>
  <si>
    <t>VRAC (1)</t>
  </si>
  <si>
    <t>VRAC (2)</t>
  </si>
  <si>
    <t>VRAC (3)</t>
  </si>
  <si>
    <t>VRAC (4)</t>
  </si>
  <si>
    <t>[UV2] La liberté d’aller et venir s’inscrit dans le respect :</t>
  </si>
  <si>
    <t>[UV2] Les acteurs de la sécurité privée doivent respecter la confidentialité des informations dont ils ont eu connaissance dans le cadre de leur activité :</t>
  </si>
  <si>
    <t>[UV2] Que risque un employeur qui a conclu un contrat de travail avec un agent de sécurité, non titulaire de la carte professionnelle ?</t>
  </si>
  <si>
    <t>[UV2] Le port et transport d’armes sans agrément spécifique, de type générateurs aérosols (de catégorie D) et arme à impulsion électrique de contact :</t>
  </si>
  <si>
    <t>[UV3] Quels sont les 4 comportements pouvant être adoptés théoriquement lors d’un conflit ?</t>
  </si>
  <si>
    <t>[UV4] Une consigne qui vous explique la procédure pour pénétrer dans un local où des matières toxiques sont entreposées en permanence est :</t>
  </si>
  <si>
    <t>[UV4] La consigne affichée à proximité des sorties concernant l’évacuation est :</t>
  </si>
  <si>
    <t>[UV5] Lors de la mise en place d’un permis feu, quelles consignes sont importantes à confier à l’exécutant ?</t>
  </si>
  <si>
    <t>[UV9] Quel est le seuil fixé par le Code de la Sécurité Intérieure, concernant l’obligation de palpation de sécurité des manifestations ?</t>
  </si>
  <si>
    <t>[UV9] D’après le Code de la Sécurité Intérieure, quelles conditions devez-vous respecter pour effectuer une palpation de sécurité lorsqu’un périmètre de protection a été institué ?</t>
  </si>
  <si>
    <t>[UV9] Suite à une appréhension en flagrant délit pour vol, je vois que l’individu possède un couteau dans sa poche de blouson. Que dois-je faire ?</t>
  </si>
  <si>
    <t>[UV10] La CNIL est :</t>
  </si>
  <si>
    <t>[UV10] Dans lequel de ces textes la vidéoprotection est-elle encadrée ?</t>
  </si>
  <si>
    <t>[UV10] Agent de vidéosurveillance sur un site en journée, vous repérez un individu au visage dissimulé dans un local sensible à accès réglementé, que faites-vous ?</t>
  </si>
  <si>
    <t>[UV10] Quelle est la composition de la chaîne de télésécurité ?</t>
  </si>
  <si>
    <t>[UV11] Lors d’un appel du PC de télésurveillance pour une alarme intrusion sur votre site, vous devez en premier lieu :</t>
  </si>
  <si>
    <t>[UV11] Vous êtes seul sur site lors d’une ronde, vous constatez un incendie, que faites-vous en premier ?</t>
  </si>
  <si>
    <t>[UV14] Que signifie POI ?</t>
  </si>
  <si>
    <t>[UV14] Quel est le rôle du Document Unique (DU) ?</t>
  </si>
  <si>
    <t>[UV14] Que signifie l’abrégé P.P.I. ?</t>
  </si>
  <si>
    <t>[UV14] La directive SEVESO est applicable pour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</si>
</sst>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scheme val="minor"/>
    </font>
    <font>
      <sz val="11"/>
      <color theme="1"/>
      <name val="Arial"/>
    </font>
    <font>
      <sz val="13"/>
      <color rgb="FF5B6673"/>
      <name val="Arial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1.5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rial"/>
      <family val="2"/>
    </font>
    <font>
      <sz val="11"/>
      <color theme="0" tint="-0.249977111117893"/>
      <name val="Calibri"/>
      <family val="2"/>
      <scheme val="minor"/>
    </font>
    <font>
      <sz val="9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1" applyFont="1"/>
    <xf numFmtId="0" fontId="2" fillId="0" borderId="0" xfId="1"/>
    <xf numFmtId="0" fontId="4" fillId="2" borderId="0" xfId="1" applyFont="1" applyFill="1"/>
    <xf numFmtId="0" fontId="6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15" fillId="0" borderId="0" xfId="1" applyFont="1"/>
    <xf numFmtId="0" fontId="0" fillId="5" borderId="0" xfId="0" applyFill="1" applyAlignment="1">
      <alignment vertical="top"/>
    </xf>
  </cellXfs>
  <cellStyles count="2">
    <cellStyle name="Normal" xfId="0" builtinId="0"/>
    <cellStyle name="Normal 2" xfId="1" xr:uid="{739EAF5D-6DEC-4933-BEAA-58326FF9FE6A}"/>
  </cellStyles>
  <dxfs count="7">
    <dxf>
      <fill>
        <patternFill patternType="solid">
          <fgColor rgb="FFFFFF00"/>
          <bgColor rgb="FF000000"/>
        </patternFill>
      </fill>
    </dxf>
    <dxf>
      <fill>
        <patternFill>
          <bgColor rgb="FFCCFF66"/>
        </patternFill>
      </fill>
    </dxf>
    <dxf>
      <fill>
        <patternFill>
          <bgColor rgb="FFCCFF66"/>
        </patternFill>
      </fill>
    </dxf>
    <dxf>
      <fill>
        <patternFill>
          <bgColor rgb="FFCCFF66"/>
        </patternFill>
      </fill>
    </dxf>
    <dxf>
      <fill>
        <patternFill>
          <bgColor rgb="FFCCFF66"/>
        </patternFill>
      </fill>
    </dxf>
    <dxf>
      <fill>
        <patternFill>
          <bgColor rgb="FFCCFF66"/>
        </patternFill>
      </fill>
    </dxf>
    <dxf>
      <fill>
        <patternFill>
          <bgColor rgb="FFCCFF66"/>
        </patternFill>
      </fill>
    </dxf>
  </dxfs>
  <tableStyles count="0" defaultTableStyle="TableStyleMedium9" defaultPivotStyle="PivotStyleLight16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152400</xdr:colOff>
      <xdr:row>52</xdr:row>
      <xdr:rowOff>38100</xdr:rowOff>
    </xdr:from>
    <xdr:to>
      <xdr:col>19</xdr:col>
      <xdr:colOff>48376</xdr:colOff>
      <xdr:row>53</xdr:row>
      <xdr:rowOff>123864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2F00D2B-4036-E83E-B4CA-09C9210D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92475" y="9944100"/>
          <a:ext cx="5382376" cy="276264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257175</xdr:colOff>
      <xdr:row>41</xdr:row>
      <xdr:rowOff>171450</xdr:rowOff>
    </xdr:from>
    <xdr:to>
      <xdr:col>16</xdr:col>
      <xdr:colOff>285289</xdr:colOff>
      <xdr:row>43</xdr:row>
      <xdr:rowOff>152355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B7D30C5-D40D-772C-9070-BF9FBF67A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97250" y="7981950"/>
          <a:ext cx="3685714" cy="36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219075</xdr:colOff>
      <xdr:row>68</xdr:row>
      <xdr:rowOff>152400</xdr:rowOff>
    </xdr:from>
    <xdr:to>
      <xdr:col>16</xdr:col>
      <xdr:colOff>543481</xdr:colOff>
      <xdr:row>70</xdr:row>
      <xdr:rowOff>85769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634273F-B9AF-2D23-8CD4-5E346CEF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59150" y="13106400"/>
          <a:ext cx="3982006" cy="314369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76</xdr:row>
      <xdr:rowOff>19050</xdr:rowOff>
    </xdr:from>
    <xdr:to>
      <xdr:col>15</xdr:col>
      <xdr:colOff>190948</xdr:colOff>
      <xdr:row>77</xdr:row>
      <xdr:rowOff>104814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8404E67-425A-E936-8C95-3BE3668DA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68650" y="14497050"/>
          <a:ext cx="3210373" cy="276264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86</xdr:row>
      <xdr:rowOff>28575</xdr:rowOff>
    </xdr:from>
    <xdr:to>
      <xdr:col>16</xdr:col>
      <xdr:colOff>191030</xdr:colOff>
      <xdr:row>87</xdr:row>
      <xdr:rowOff>76233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AF522C1-ECEE-A3B9-120B-0E04D4905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87700" y="16411575"/>
          <a:ext cx="3801005" cy="238158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96</xdr:row>
      <xdr:rowOff>38100</xdr:rowOff>
    </xdr:from>
    <xdr:to>
      <xdr:col>16</xdr:col>
      <xdr:colOff>171976</xdr:colOff>
      <xdr:row>97</xdr:row>
      <xdr:rowOff>95285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AD079912-DBD6-0B4F-A737-44D8A8877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97225" y="18326100"/>
          <a:ext cx="3772426" cy="24768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106</xdr:row>
      <xdr:rowOff>66675</xdr:rowOff>
    </xdr:from>
    <xdr:to>
      <xdr:col>16</xdr:col>
      <xdr:colOff>267234</xdr:colOff>
      <xdr:row>107</xdr:row>
      <xdr:rowOff>171491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B52C5D2-5E8B-4C72-7503-D8E87828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935325" y="20259675"/>
          <a:ext cx="3829584" cy="295316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127</xdr:row>
      <xdr:rowOff>133350</xdr:rowOff>
    </xdr:from>
    <xdr:to>
      <xdr:col>14</xdr:col>
      <xdr:colOff>228962</xdr:colOff>
      <xdr:row>128</xdr:row>
      <xdr:rowOff>181008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73A68794-9778-CD9C-B081-3E7E95DDD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16275" y="22421850"/>
          <a:ext cx="2591162" cy="238158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138</xdr:row>
      <xdr:rowOff>66675</xdr:rowOff>
    </xdr:from>
    <xdr:to>
      <xdr:col>19</xdr:col>
      <xdr:colOff>581840</xdr:colOff>
      <xdr:row>140</xdr:row>
      <xdr:rowOff>171518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95C4E047-8BEE-210B-D616-E4C1704DC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068675" y="24450675"/>
          <a:ext cx="5839640" cy="485843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155</xdr:row>
      <xdr:rowOff>57150</xdr:rowOff>
    </xdr:from>
    <xdr:to>
      <xdr:col>15</xdr:col>
      <xdr:colOff>238570</xdr:colOff>
      <xdr:row>156</xdr:row>
      <xdr:rowOff>181019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DB803C3F-AEB8-E033-20B0-82769A377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935325" y="27679650"/>
          <a:ext cx="3191320" cy="314369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116</xdr:row>
      <xdr:rowOff>9525</xdr:rowOff>
    </xdr:from>
    <xdr:to>
      <xdr:col>15</xdr:col>
      <xdr:colOff>229052</xdr:colOff>
      <xdr:row>117</xdr:row>
      <xdr:rowOff>57183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546AC271-ABFE-C90F-4EB1-899883BDD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878175" y="22107525"/>
          <a:ext cx="3238952" cy="238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281"/>
  <sheetViews>
    <sheetView tabSelected="1" topLeftCell="A135" workbookViewId="0">
      <selection activeCell="B281" sqref="B281"/>
    </sheetView>
  </sheetViews>
  <sheetFormatPr baseColWidth="10" defaultColWidth="9.140625" defaultRowHeight="15" x14ac:dyDescent="0.25"/>
  <cols>
    <col min="1" max="1" width="8.5703125" style="9" customWidth="1"/>
    <col min="2" max="2" width="9.140625" style="9"/>
    <col min="3" max="3" width="59.28515625" style="2" customWidth="1"/>
    <col min="4" max="9" width="26.7109375" style="2" customWidth="1"/>
    <col min="10" max="10" width="9.140625" style="10"/>
    <col min="11" max="16384" width="9.140625" style="2"/>
  </cols>
  <sheetData>
    <row r="1" spans="1:10" x14ac:dyDescent="0.25">
      <c r="A1" s="8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</row>
    <row r="2" spans="1:10" x14ac:dyDescent="0.25">
      <c r="A2" s="9" t="s">
        <v>10</v>
      </c>
      <c r="B2" s="9" t="s">
        <v>11</v>
      </c>
      <c r="C2" s="2" t="s">
        <v>59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90</v>
      </c>
      <c r="I2" s="2" t="s">
        <v>119</v>
      </c>
      <c r="J2" s="10" t="s">
        <v>12</v>
      </c>
    </row>
    <row r="3" spans="1:10" x14ac:dyDescent="0.25">
      <c r="A3" s="9" t="s">
        <v>10</v>
      </c>
      <c r="B3" s="9" t="s">
        <v>13</v>
      </c>
      <c r="C3" s="2" t="s">
        <v>60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90</v>
      </c>
      <c r="I3" s="2" t="s">
        <v>119</v>
      </c>
      <c r="J3" s="10" t="s">
        <v>14</v>
      </c>
    </row>
    <row r="4" spans="1:10" x14ac:dyDescent="0.25">
      <c r="A4" s="9" t="s">
        <v>10</v>
      </c>
      <c r="B4" s="20" t="s">
        <v>15</v>
      </c>
      <c r="C4" s="2" t="s">
        <v>61</v>
      </c>
      <c r="D4" s="2" t="s">
        <v>124</v>
      </c>
      <c r="E4" s="2" t="s">
        <v>125</v>
      </c>
      <c r="F4" s="2" t="s">
        <v>126</v>
      </c>
      <c r="G4" s="2" t="s">
        <v>127</v>
      </c>
      <c r="H4" s="2" t="s">
        <v>128</v>
      </c>
      <c r="I4" s="2" t="s">
        <v>90</v>
      </c>
      <c r="J4" s="10" t="s">
        <v>12</v>
      </c>
    </row>
    <row r="5" spans="1:10" x14ac:dyDescent="0.25">
      <c r="A5" s="9" t="s">
        <v>10</v>
      </c>
      <c r="B5" s="9" t="s">
        <v>16</v>
      </c>
      <c r="C5" s="2" t="s">
        <v>62</v>
      </c>
      <c r="D5" s="2" t="s">
        <v>129</v>
      </c>
      <c r="E5" s="2" t="s">
        <v>130</v>
      </c>
      <c r="F5" s="2" t="s">
        <v>131</v>
      </c>
      <c r="G5" s="2" t="s">
        <v>132</v>
      </c>
      <c r="H5" s="2" t="s">
        <v>90</v>
      </c>
      <c r="I5" s="2" t="s">
        <v>119</v>
      </c>
      <c r="J5" s="10" t="s">
        <v>14</v>
      </c>
    </row>
    <row r="6" spans="1:10" x14ac:dyDescent="0.25">
      <c r="A6" s="9" t="s">
        <v>10</v>
      </c>
      <c r="B6" s="20" t="s">
        <v>17</v>
      </c>
      <c r="C6" s="2" t="s">
        <v>63</v>
      </c>
      <c r="D6" s="2" t="s">
        <v>133</v>
      </c>
      <c r="E6" s="2" t="s">
        <v>134</v>
      </c>
      <c r="F6" s="2" t="s">
        <v>135</v>
      </c>
      <c r="G6" s="2" t="s">
        <v>136</v>
      </c>
      <c r="H6" s="2" t="s">
        <v>90</v>
      </c>
      <c r="I6" s="2" t="s">
        <v>119</v>
      </c>
      <c r="J6" s="10" t="s">
        <v>18</v>
      </c>
    </row>
    <row r="7" spans="1:10" x14ac:dyDescent="0.25">
      <c r="A7" s="9" t="s">
        <v>10</v>
      </c>
      <c r="B7" s="9" t="s">
        <v>19</v>
      </c>
      <c r="C7" s="2" t="s">
        <v>64</v>
      </c>
      <c r="D7" s="2" t="s">
        <v>137</v>
      </c>
      <c r="E7" s="2" t="s">
        <v>138</v>
      </c>
      <c r="F7" s="2" t="s">
        <v>139</v>
      </c>
      <c r="G7" s="2" t="s">
        <v>140</v>
      </c>
      <c r="H7" s="2" t="s">
        <v>90</v>
      </c>
      <c r="I7" s="2" t="s">
        <v>119</v>
      </c>
      <c r="J7" s="10" t="s">
        <v>12</v>
      </c>
    </row>
    <row r="8" spans="1:10" x14ac:dyDescent="0.25">
      <c r="A8" s="9" t="s">
        <v>10</v>
      </c>
      <c r="B8" s="20" t="s">
        <v>20</v>
      </c>
      <c r="C8" s="2" t="s">
        <v>65</v>
      </c>
      <c r="D8" s="2" t="s">
        <v>141</v>
      </c>
      <c r="E8" s="2" t="s">
        <v>142</v>
      </c>
      <c r="F8" s="2" t="s">
        <v>143</v>
      </c>
      <c r="G8" s="2" t="s">
        <v>144</v>
      </c>
      <c r="H8" s="2" t="s">
        <v>90</v>
      </c>
      <c r="I8" s="2" t="s">
        <v>119</v>
      </c>
      <c r="J8" s="10" t="s">
        <v>21</v>
      </c>
    </row>
    <row r="9" spans="1:10" x14ac:dyDescent="0.25">
      <c r="A9" s="9" t="s">
        <v>10</v>
      </c>
      <c r="B9" s="9" t="s">
        <v>22</v>
      </c>
      <c r="C9" s="2" t="s">
        <v>66</v>
      </c>
      <c r="D9" s="2" t="s">
        <v>145</v>
      </c>
      <c r="E9" s="2" t="s">
        <v>146</v>
      </c>
      <c r="F9" s="2" t="s">
        <v>147</v>
      </c>
      <c r="G9" s="2" t="s">
        <v>148</v>
      </c>
      <c r="H9" s="2" t="s">
        <v>90</v>
      </c>
      <c r="I9" s="2" t="s">
        <v>119</v>
      </c>
      <c r="J9" s="10" t="s">
        <v>23</v>
      </c>
    </row>
    <row r="10" spans="1:10" x14ac:dyDescent="0.25">
      <c r="A10" s="9" t="s">
        <v>10</v>
      </c>
      <c r="B10" s="9" t="s">
        <v>24</v>
      </c>
      <c r="C10" s="2" t="s">
        <v>67</v>
      </c>
      <c r="D10" s="2" t="s">
        <v>149</v>
      </c>
      <c r="E10" s="2" t="s">
        <v>150</v>
      </c>
      <c r="F10" s="2" t="s">
        <v>151</v>
      </c>
      <c r="G10" s="2" t="s">
        <v>152</v>
      </c>
      <c r="H10" s="2" t="s">
        <v>90</v>
      </c>
      <c r="I10" s="2" t="s">
        <v>119</v>
      </c>
      <c r="J10" s="10" t="s">
        <v>14</v>
      </c>
    </row>
    <row r="11" spans="1:10" x14ac:dyDescent="0.25">
      <c r="A11" s="9" t="s">
        <v>10</v>
      </c>
      <c r="B11" s="9" t="s">
        <v>25</v>
      </c>
      <c r="C11" s="2" t="s">
        <v>68</v>
      </c>
      <c r="D11" s="2" t="s">
        <v>153</v>
      </c>
      <c r="E11" s="2" t="s">
        <v>154</v>
      </c>
      <c r="F11" s="2" t="s">
        <v>155</v>
      </c>
      <c r="G11" s="2" t="s">
        <v>156</v>
      </c>
      <c r="H11" s="2" t="s">
        <v>90</v>
      </c>
      <c r="I11" s="2" t="s">
        <v>119</v>
      </c>
      <c r="J11" s="10" t="s">
        <v>18</v>
      </c>
    </row>
    <row r="12" spans="1:10" x14ac:dyDescent="0.25">
      <c r="A12" s="9" t="s">
        <v>10</v>
      </c>
      <c r="B12" s="9" t="s">
        <v>26</v>
      </c>
      <c r="C12" s="2" t="s">
        <v>69</v>
      </c>
      <c r="D12" s="2" t="s">
        <v>157</v>
      </c>
      <c r="E12" s="2" t="s">
        <v>158</v>
      </c>
      <c r="F12" s="2" t="s">
        <v>159</v>
      </c>
      <c r="G12" s="2" t="s">
        <v>160</v>
      </c>
      <c r="H12" s="2" t="s">
        <v>90</v>
      </c>
      <c r="I12" s="2" t="s">
        <v>119</v>
      </c>
      <c r="J12" s="10" t="s">
        <v>21</v>
      </c>
    </row>
    <row r="13" spans="1:10" x14ac:dyDescent="0.25">
      <c r="A13" s="9" t="s">
        <v>10</v>
      </c>
      <c r="B13" s="9" t="s">
        <v>27</v>
      </c>
      <c r="C13" s="2" t="s">
        <v>70</v>
      </c>
      <c r="D13" s="2" t="s">
        <v>161</v>
      </c>
      <c r="E13" s="2" t="s">
        <v>162</v>
      </c>
      <c r="F13" s="2" t="s">
        <v>163</v>
      </c>
      <c r="G13" s="2" t="s">
        <v>164</v>
      </c>
      <c r="H13" s="2" t="s">
        <v>90</v>
      </c>
      <c r="I13" s="2" t="s">
        <v>119</v>
      </c>
      <c r="J13" s="10" t="s">
        <v>18</v>
      </c>
    </row>
    <row r="14" spans="1:10" x14ac:dyDescent="0.25">
      <c r="A14" s="9" t="s">
        <v>10</v>
      </c>
      <c r="B14" s="9" t="s">
        <v>28</v>
      </c>
      <c r="C14" s="2" t="s">
        <v>71</v>
      </c>
      <c r="D14" s="2" t="s">
        <v>165</v>
      </c>
      <c r="E14" s="2" t="s">
        <v>166</v>
      </c>
      <c r="F14" s="2" t="s">
        <v>167</v>
      </c>
      <c r="G14" s="2" t="s">
        <v>168</v>
      </c>
      <c r="H14" s="2" t="s">
        <v>90</v>
      </c>
      <c r="I14" s="2" t="s">
        <v>119</v>
      </c>
      <c r="J14" s="10" t="s">
        <v>14</v>
      </c>
    </row>
    <row r="15" spans="1:10" x14ac:dyDescent="0.25">
      <c r="A15" s="9" t="s">
        <v>10</v>
      </c>
      <c r="B15" s="9" t="s">
        <v>29</v>
      </c>
      <c r="C15" s="2" t="s">
        <v>72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90</v>
      </c>
      <c r="I15" s="2" t="s">
        <v>119</v>
      </c>
      <c r="J15" s="10" t="s">
        <v>12</v>
      </c>
    </row>
    <row r="16" spans="1:10" x14ac:dyDescent="0.25">
      <c r="A16" s="9" t="s">
        <v>10</v>
      </c>
      <c r="B16" s="9" t="s">
        <v>30</v>
      </c>
      <c r="C16" s="2" t="s">
        <v>73</v>
      </c>
      <c r="D16" s="2" t="s">
        <v>14</v>
      </c>
      <c r="E16" s="2" t="s">
        <v>21</v>
      </c>
      <c r="F16" s="2" t="s">
        <v>18</v>
      </c>
      <c r="G16" s="2" t="s">
        <v>23</v>
      </c>
      <c r="H16" s="2" t="s">
        <v>90</v>
      </c>
      <c r="I16" s="2" t="s">
        <v>119</v>
      </c>
      <c r="J16" s="10" t="s">
        <v>14</v>
      </c>
    </row>
    <row r="17" spans="1:10" x14ac:dyDescent="0.25">
      <c r="A17" s="9" t="s">
        <v>10</v>
      </c>
      <c r="B17" s="9" t="s">
        <v>31</v>
      </c>
      <c r="C17" s="2" t="s">
        <v>74</v>
      </c>
      <c r="D17" s="2" t="s">
        <v>173</v>
      </c>
      <c r="E17" s="2" t="s">
        <v>174</v>
      </c>
      <c r="F17" s="2" t="s">
        <v>175</v>
      </c>
      <c r="G17" s="2" t="s">
        <v>176</v>
      </c>
      <c r="H17" s="2" t="s">
        <v>90</v>
      </c>
      <c r="I17" s="2" t="s">
        <v>119</v>
      </c>
      <c r="J17" s="10" t="s">
        <v>21</v>
      </c>
    </row>
    <row r="18" spans="1:10" x14ac:dyDescent="0.25">
      <c r="A18" s="9" t="s">
        <v>10</v>
      </c>
      <c r="B18" s="9" t="s">
        <v>32</v>
      </c>
      <c r="C18" s="2" t="s">
        <v>75</v>
      </c>
      <c r="D18" s="2" t="s">
        <v>177</v>
      </c>
      <c r="E18" s="2" t="s">
        <v>178</v>
      </c>
      <c r="F18" s="2" t="s">
        <v>179</v>
      </c>
      <c r="G18" s="2" t="s">
        <v>180</v>
      </c>
      <c r="H18" s="2" t="s">
        <v>90</v>
      </c>
      <c r="I18" s="2" t="s">
        <v>119</v>
      </c>
      <c r="J18" s="10" t="s">
        <v>21</v>
      </c>
    </row>
    <row r="19" spans="1:10" x14ac:dyDescent="0.25">
      <c r="A19" s="9" t="s">
        <v>10</v>
      </c>
      <c r="B19" s="9" t="s">
        <v>33</v>
      </c>
      <c r="C19" s="2" t="s">
        <v>76</v>
      </c>
      <c r="D19" s="2" t="s">
        <v>181</v>
      </c>
      <c r="E19" s="2" t="s">
        <v>182</v>
      </c>
      <c r="F19" s="2" t="s">
        <v>183</v>
      </c>
      <c r="G19" s="2" t="s">
        <v>184</v>
      </c>
      <c r="H19" s="2" t="s">
        <v>91</v>
      </c>
      <c r="I19" s="2" t="s">
        <v>119</v>
      </c>
      <c r="J19" s="10" t="s">
        <v>23</v>
      </c>
    </row>
    <row r="20" spans="1:10" x14ac:dyDescent="0.25">
      <c r="A20" s="9" t="s">
        <v>10</v>
      </c>
      <c r="B20" s="20" t="s">
        <v>34</v>
      </c>
      <c r="C20" s="2" t="s">
        <v>77</v>
      </c>
      <c r="D20" s="2" t="s">
        <v>185</v>
      </c>
      <c r="E20" s="2" t="s">
        <v>186</v>
      </c>
      <c r="F20" s="2" t="s">
        <v>187</v>
      </c>
      <c r="G20" s="2" t="s">
        <v>188</v>
      </c>
      <c r="H20" s="2" t="s">
        <v>90</v>
      </c>
      <c r="I20" s="2" t="s">
        <v>119</v>
      </c>
      <c r="J20" s="10" t="s">
        <v>18</v>
      </c>
    </row>
    <row r="21" spans="1:10" x14ac:dyDescent="0.25">
      <c r="A21" s="9" t="s">
        <v>10</v>
      </c>
      <c r="B21" s="9" t="s">
        <v>35</v>
      </c>
      <c r="C21" s="2" t="s">
        <v>78</v>
      </c>
      <c r="D21" s="2" t="s">
        <v>189</v>
      </c>
      <c r="E21" s="2" t="s">
        <v>190</v>
      </c>
      <c r="F21" s="2" t="s">
        <v>191</v>
      </c>
      <c r="G21" s="2" t="s">
        <v>192</v>
      </c>
      <c r="H21" s="2" t="s">
        <v>90</v>
      </c>
      <c r="I21" s="2" t="s">
        <v>119</v>
      </c>
      <c r="J21" s="10" t="s">
        <v>12</v>
      </c>
    </row>
    <row r="22" spans="1:10" x14ac:dyDescent="0.25">
      <c r="A22" s="9" t="s">
        <v>10</v>
      </c>
      <c r="B22" s="9" t="s">
        <v>36</v>
      </c>
      <c r="C22" s="2" t="s">
        <v>79</v>
      </c>
      <c r="D22" s="2" t="s">
        <v>193</v>
      </c>
      <c r="E22" s="2" t="s">
        <v>194</v>
      </c>
      <c r="F22" s="2" t="s">
        <v>195</v>
      </c>
      <c r="G22" s="2" t="s">
        <v>196</v>
      </c>
      <c r="H22" s="2" t="s">
        <v>90</v>
      </c>
      <c r="I22" s="2" t="s">
        <v>119</v>
      </c>
      <c r="J22" s="10" t="s">
        <v>21</v>
      </c>
    </row>
    <row r="23" spans="1:10" x14ac:dyDescent="0.25">
      <c r="A23" s="9" t="s">
        <v>10</v>
      </c>
      <c r="B23" s="9" t="s">
        <v>37</v>
      </c>
      <c r="C23" s="2" t="s">
        <v>80</v>
      </c>
      <c r="D23" s="2" t="s">
        <v>197</v>
      </c>
      <c r="E23" s="2" t="s">
        <v>198</v>
      </c>
      <c r="F23" s="2" t="s">
        <v>199</v>
      </c>
      <c r="G23" s="2" t="s">
        <v>200</v>
      </c>
      <c r="H23" s="2" t="s">
        <v>90</v>
      </c>
      <c r="I23" s="2" t="s">
        <v>119</v>
      </c>
      <c r="J23" s="10" t="s">
        <v>23</v>
      </c>
    </row>
    <row r="24" spans="1:10" x14ac:dyDescent="0.25">
      <c r="A24" s="9" t="s">
        <v>10</v>
      </c>
      <c r="B24" s="9" t="s">
        <v>38</v>
      </c>
      <c r="C24" s="2" t="s">
        <v>81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90</v>
      </c>
      <c r="I24" s="2" t="s">
        <v>119</v>
      </c>
      <c r="J24" s="10" t="s">
        <v>18</v>
      </c>
    </row>
    <row r="25" spans="1:10" x14ac:dyDescent="0.25">
      <c r="A25" s="9" t="s">
        <v>10</v>
      </c>
      <c r="B25" s="9" t="s">
        <v>39</v>
      </c>
      <c r="C25" s="2" t="s">
        <v>82</v>
      </c>
      <c r="D25" s="2" t="s">
        <v>205</v>
      </c>
      <c r="E25" s="2" t="s">
        <v>206</v>
      </c>
      <c r="F25" s="2" t="s">
        <v>207</v>
      </c>
      <c r="G25" s="2" t="s">
        <v>208</v>
      </c>
      <c r="H25" s="2" t="s">
        <v>90</v>
      </c>
      <c r="I25" s="2" t="s">
        <v>119</v>
      </c>
      <c r="J25" s="10" t="s">
        <v>12</v>
      </c>
    </row>
    <row r="26" spans="1:10" x14ac:dyDescent="0.25">
      <c r="A26" s="9" t="s">
        <v>10</v>
      </c>
      <c r="B26" s="9" t="s">
        <v>40</v>
      </c>
      <c r="C26" s="2" t="s">
        <v>83</v>
      </c>
      <c r="D26" s="2" t="s">
        <v>209</v>
      </c>
      <c r="E26" s="2" t="s">
        <v>210</v>
      </c>
      <c r="F26" s="2" t="s">
        <v>211</v>
      </c>
      <c r="G26" s="2" t="s">
        <v>212</v>
      </c>
      <c r="H26" s="2" t="s">
        <v>90</v>
      </c>
      <c r="I26" s="2" t="s">
        <v>119</v>
      </c>
      <c r="J26" s="10" t="s">
        <v>21</v>
      </c>
    </row>
    <row r="27" spans="1:10" x14ac:dyDescent="0.25">
      <c r="A27" s="9" t="s">
        <v>10</v>
      </c>
      <c r="B27" s="9" t="s">
        <v>41</v>
      </c>
      <c r="C27" s="2" t="s">
        <v>84</v>
      </c>
      <c r="D27" s="2" t="s">
        <v>213</v>
      </c>
      <c r="E27" s="2" t="s">
        <v>214</v>
      </c>
      <c r="F27" s="2" t="s">
        <v>215</v>
      </c>
      <c r="G27" s="2" t="s">
        <v>216</v>
      </c>
      <c r="H27" s="2" t="s">
        <v>90</v>
      </c>
      <c r="I27" s="2" t="s">
        <v>119</v>
      </c>
      <c r="J27" s="10" t="s">
        <v>21</v>
      </c>
    </row>
    <row r="28" spans="1:10" x14ac:dyDescent="0.25">
      <c r="A28" s="9" t="s">
        <v>10</v>
      </c>
      <c r="B28" s="9" t="s">
        <v>42</v>
      </c>
      <c r="C28" s="2" t="s">
        <v>85</v>
      </c>
      <c r="D28" s="2" t="s">
        <v>217</v>
      </c>
      <c r="E28" s="2" t="s">
        <v>218</v>
      </c>
      <c r="F28" s="2" t="s">
        <v>219</v>
      </c>
      <c r="G28" s="2" t="s">
        <v>220</v>
      </c>
      <c r="H28" s="2" t="s">
        <v>90</v>
      </c>
      <c r="I28" s="2" t="s">
        <v>119</v>
      </c>
      <c r="J28" s="10" t="s">
        <v>21</v>
      </c>
    </row>
    <row r="29" spans="1:10" x14ac:dyDescent="0.25">
      <c r="A29" s="9" t="s">
        <v>10</v>
      </c>
      <c r="B29" s="9" t="s">
        <v>43</v>
      </c>
      <c r="C29" s="2" t="s">
        <v>86</v>
      </c>
      <c r="D29" s="2" t="s">
        <v>221</v>
      </c>
      <c r="E29" s="2" t="s">
        <v>222</v>
      </c>
      <c r="F29" s="2" t="s">
        <v>223</v>
      </c>
      <c r="G29" s="2" t="s">
        <v>224</v>
      </c>
      <c r="H29" s="2" t="s">
        <v>90</v>
      </c>
      <c r="I29" s="2" t="s">
        <v>119</v>
      </c>
      <c r="J29" s="10" t="s">
        <v>14</v>
      </c>
    </row>
    <row r="30" spans="1:10" x14ac:dyDescent="0.25">
      <c r="A30" s="9" t="s">
        <v>10</v>
      </c>
      <c r="B30" s="9" t="s">
        <v>44</v>
      </c>
      <c r="C30" s="2" t="s">
        <v>87</v>
      </c>
      <c r="D30" s="2" t="s">
        <v>225</v>
      </c>
      <c r="E30" s="2" t="s">
        <v>226</v>
      </c>
      <c r="F30" s="2" t="s">
        <v>227</v>
      </c>
      <c r="G30" s="2" t="s">
        <v>228</v>
      </c>
      <c r="H30" s="2" t="s">
        <v>90</v>
      </c>
      <c r="I30" s="2" t="s">
        <v>119</v>
      </c>
      <c r="J30" s="10" t="s">
        <v>14</v>
      </c>
    </row>
    <row r="31" spans="1:10" x14ac:dyDescent="0.25">
      <c r="A31" s="9" t="s">
        <v>10</v>
      </c>
      <c r="B31" s="9" t="s">
        <v>45</v>
      </c>
      <c r="C31" s="2" t="s">
        <v>88</v>
      </c>
      <c r="D31" s="2" t="s">
        <v>229</v>
      </c>
      <c r="E31" s="2" t="s">
        <v>230</v>
      </c>
      <c r="F31" s="2" t="s">
        <v>231</v>
      </c>
      <c r="G31" s="2" t="s">
        <v>232</v>
      </c>
      <c r="H31" s="2" t="s">
        <v>90</v>
      </c>
      <c r="I31" s="2" t="s">
        <v>119</v>
      </c>
      <c r="J31" s="10" t="s">
        <v>12</v>
      </c>
    </row>
    <row r="32" spans="1:10" x14ac:dyDescent="0.25">
      <c r="A32" s="9" t="s">
        <v>10</v>
      </c>
      <c r="B32" s="9" t="s">
        <v>46</v>
      </c>
      <c r="C32" s="2" t="s">
        <v>47</v>
      </c>
      <c r="D32" s="2" t="s">
        <v>94</v>
      </c>
      <c r="E32" s="2" t="s">
        <v>102</v>
      </c>
      <c r="F32" s="2" t="s">
        <v>103</v>
      </c>
      <c r="G32" s="2" t="s">
        <v>104</v>
      </c>
      <c r="H32" s="2" t="s">
        <v>90</v>
      </c>
      <c r="I32" s="2" t="s">
        <v>119</v>
      </c>
      <c r="J32" s="10" t="s">
        <v>18</v>
      </c>
    </row>
    <row r="33" spans="1:10" x14ac:dyDescent="0.25">
      <c r="A33" s="9" t="s">
        <v>10</v>
      </c>
      <c r="B33" s="9" t="s">
        <v>48</v>
      </c>
      <c r="C33" s="2" t="s">
        <v>49</v>
      </c>
      <c r="D33" s="2" t="s">
        <v>95</v>
      </c>
      <c r="E33" s="2" t="s">
        <v>101</v>
      </c>
      <c r="F33" s="2" t="s">
        <v>105</v>
      </c>
      <c r="G33" s="2" t="s">
        <v>106</v>
      </c>
      <c r="H33" s="2" t="s">
        <v>90</v>
      </c>
      <c r="I33" s="2" t="s">
        <v>119</v>
      </c>
      <c r="J33" s="10" t="s">
        <v>21</v>
      </c>
    </row>
    <row r="34" spans="1:10" x14ac:dyDescent="0.25">
      <c r="A34" s="9" t="s">
        <v>10</v>
      </c>
      <c r="B34" s="9" t="s">
        <v>50</v>
      </c>
      <c r="C34" s="2" t="s">
        <v>51</v>
      </c>
      <c r="D34" s="2" t="s">
        <v>96</v>
      </c>
      <c r="E34" s="2" t="s">
        <v>100</v>
      </c>
      <c r="F34" s="2" t="s">
        <v>107</v>
      </c>
      <c r="G34" s="2" t="s">
        <v>108</v>
      </c>
      <c r="H34" s="2" t="s">
        <v>90</v>
      </c>
      <c r="I34" s="2" t="s">
        <v>119</v>
      </c>
      <c r="J34" s="10" t="s">
        <v>14</v>
      </c>
    </row>
    <row r="35" spans="1:10" x14ac:dyDescent="0.25">
      <c r="A35" s="9" t="s">
        <v>10</v>
      </c>
      <c r="B35" s="9" t="s">
        <v>52</v>
      </c>
      <c r="C35" s="2" t="s">
        <v>53</v>
      </c>
      <c r="D35" s="2" t="s">
        <v>97</v>
      </c>
      <c r="E35" s="2" t="s">
        <v>109</v>
      </c>
      <c r="F35" s="2" t="s">
        <v>110</v>
      </c>
      <c r="G35" s="2" t="s">
        <v>111</v>
      </c>
      <c r="H35" s="2" t="s">
        <v>90</v>
      </c>
      <c r="I35" s="2" t="s">
        <v>119</v>
      </c>
      <c r="J35" s="10" t="s">
        <v>18</v>
      </c>
    </row>
    <row r="36" spans="1:10" ht="30" x14ac:dyDescent="0.25">
      <c r="A36" s="9" t="s">
        <v>10</v>
      </c>
      <c r="B36" s="9" t="s">
        <v>54</v>
      </c>
      <c r="C36" s="2" t="s">
        <v>55</v>
      </c>
      <c r="D36" s="11" t="s">
        <v>98</v>
      </c>
      <c r="E36" s="11" t="s">
        <v>112</v>
      </c>
      <c r="F36" s="11" t="s">
        <v>113</v>
      </c>
      <c r="G36" s="11" t="s">
        <v>114</v>
      </c>
      <c r="H36" s="11" t="s">
        <v>92</v>
      </c>
      <c r="I36" s="11" t="s">
        <v>119</v>
      </c>
      <c r="J36" s="10" t="s">
        <v>23</v>
      </c>
    </row>
    <row r="37" spans="1:10" ht="30" x14ac:dyDescent="0.25">
      <c r="A37" s="9" t="s">
        <v>10</v>
      </c>
      <c r="B37" s="9" t="s">
        <v>56</v>
      </c>
      <c r="C37" s="2" t="s">
        <v>57</v>
      </c>
      <c r="D37" s="11" t="s">
        <v>99</v>
      </c>
      <c r="E37" s="11" t="s">
        <v>233</v>
      </c>
      <c r="F37" s="11" t="s">
        <v>234</v>
      </c>
      <c r="G37" s="11" t="s">
        <v>235</v>
      </c>
      <c r="H37" s="11" t="s">
        <v>93</v>
      </c>
      <c r="I37" s="11" t="s">
        <v>119</v>
      </c>
      <c r="J37" s="10" t="s">
        <v>21</v>
      </c>
    </row>
    <row r="38" spans="1:10" x14ac:dyDescent="0.25">
      <c r="A38" s="9" t="s">
        <v>10</v>
      </c>
      <c r="B38" s="9" t="s">
        <v>58</v>
      </c>
      <c r="C38" s="2" t="s">
        <v>89</v>
      </c>
      <c r="D38" s="2" t="s">
        <v>236</v>
      </c>
      <c r="E38" s="2" t="s">
        <v>237</v>
      </c>
      <c r="F38" s="2" t="s">
        <v>238</v>
      </c>
      <c r="G38" s="2" t="s">
        <v>239</v>
      </c>
      <c r="H38" s="2" t="s">
        <v>90</v>
      </c>
      <c r="I38" s="2" t="s">
        <v>119</v>
      </c>
      <c r="J38" s="10" t="s">
        <v>14</v>
      </c>
    </row>
    <row r="39" spans="1:10" x14ac:dyDescent="0.25">
      <c r="A39" s="9" t="s">
        <v>244</v>
      </c>
      <c r="B39" s="20" t="s">
        <v>11</v>
      </c>
      <c r="C39" s="2" t="s">
        <v>279</v>
      </c>
      <c r="D39" s="2" t="s">
        <v>280</v>
      </c>
      <c r="E39" s="2" t="s">
        <v>281</v>
      </c>
      <c r="F39" s="2" t="s">
        <v>282</v>
      </c>
      <c r="G39" s="2" t="s">
        <v>283</v>
      </c>
      <c r="H39" s="2" t="s">
        <v>90</v>
      </c>
      <c r="J39" s="10" t="s">
        <v>18</v>
      </c>
    </row>
    <row r="40" spans="1:10" x14ac:dyDescent="0.25">
      <c r="A40" s="9" t="s">
        <v>244</v>
      </c>
      <c r="B40" s="9" t="s">
        <v>13</v>
      </c>
      <c r="C40" s="2" t="s">
        <v>284</v>
      </c>
      <c r="D40" s="2" t="s">
        <v>285</v>
      </c>
      <c r="E40" s="2" t="s">
        <v>286</v>
      </c>
      <c r="F40" s="2" t="s">
        <v>287</v>
      </c>
      <c r="G40" s="2" t="s">
        <v>288</v>
      </c>
      <c r="H40" s="2" t="s">
        <v>90</v>
      </c>
      <c r="J40" s="10" t="s">
        <v>21</v>
      </c>
    </row>
    <row r="41" spans="1:10" x14ac:dyDescent="0.25">
      <c r="A41" s="9" t="s">
        <v>244</v>
      </c>
      <c r="B41" s="9" t="s">
        <v>15</v>
      </c>
      <c r="C41" s="2" t="s">
        <v>289</v>
      </c>
      <c r="D41" s="2" t="s">
        <v>290</v>
      </c>
      <c r="E41" s="2" t="s">
        <v>291</v>
      </c>
      <c r="F41" s="2" t="s">
        <v>292</v>
      </c>
      <c r="G41" s="2" t="s">
        <v>293</v>
      </c>
      <c r="H41" s="2" t="s">
        <v>90</v>
      </c>
      <c r="J41" s="10" t="s">
        <v>12</v>
      </c>
    </row>
    <row r="42" spans="1:10" x14ac:dyDescent="0.25">
      <c r="A42" s="9" t="s">
        <v>244</v>
      </c>
      <c r="B42" s="9" t="s">
        <v>16</v>
      </c>
      <c r="C42" s="2" t="s">
        <v>294</v>
      </c>
      <c r="D42" s="2" t="s">
        <v>295</v>
      </c>
      <c r="E42" s="2" t="s">
        <v>296</v>
      </c>
      <c r="F42" s="2" t="s">
        <v>297</v>
      </c>
      <c r="G42" s="2" t="s">
        <v>298</v>
      </c>
      <c r="H42" s="2" t="s">
        <v>90</v>
      </c>
      <c r="J42" s="10" t="s">
        <v>14</v>
      </c>
    </row>
    <row r="43" spans="1:10" x14ac:dyDescent="0.25">
      <c r="A43" s="9" t="s">
        <v>244</v>
      </c>
      <c r="B43" s="9" t="s">
        <v>17</v>
      </c>
      <c r="C43" s="2" t="s">
        <v>299</v>
      </c>
      <c r="D43" s="2" t="s">
        <v>300</v>
      </c>
      <c r="E43" s="2" t="s">
        <v>301</v>
      </c>
      <c r="F43" s="2" t="s">
        <v>302</v>
      </c>
      <c r="G43" s="2" t="s">
        <v>303</v>
      </c>
      <c r="H43" s="2" t="s">
        <v>90</v>
      </c>
      <c r="J43" s="10" t="s">
        <v>21</v>
      </c>
    </row>
    <row r="44" spans="1:10" x14ac:dyDescent="0.25">
      <c r="A44" s="9" t="s">
        <v>244</v>
      </c>
      <c r="B44" s="9" t="s">
        <v>19</v>
      </c>
      <c r="C44" s="2" t="s">
        <v>304</v>
      </c>
      <c r="D44" s="2" t="s">
        <v>305</v>
      </c>
      <c r="E44" s="2" t="s">
        <v>306</v>
      </c>
      <c r="F44" s="2" t="s">
        <v>307</v>
      </c>
      <c r="G44" s="2" t="s">
        <v>308</v>
      </c>
      <c r="H44" s="2" t="s">
        <v>90</v>
      </c>
      <c r="J44" s="10" t="s">
        <v>14</v>
      </c>
    </row>
    <row r="45" spans="1:10" x14ac:dyDescent="0.25">
      <c r="A45" s="9" t="s">
        <v>244</v>
      </c>
      <c r="B45" s="9" t="s">
        <v>20</v>
      </c>
      <c r="C45" s="2" t="s">
        <v>309</v>
      </c>
      <c r="D45" s="2" t="s">
        <v>310</v>
      </c>
      <c r="E45" s="2" t="s">
        <v>311</v>
      </c>
      <c r="F45" s="2" t="s">
        <v>312</v>
      </c>
      <c r="G45" s="2" t="s">
        <v>313</v>
      </c>
      <c r="H45" s="2" t="s">
        <v>90</v>
      </c>
      <c r="J45" s="10" t="s">
        <v>18</v>
      </c>
    </row>
    <row r="46" spans="1:10" x14ac:dyDescent="0.25">
      <c r="A46" s="9" t="s">
        <v>244</v>
      </c>
      <c r="B46" s="9" t="s">
        <v>22</v>
      </c>
      <c r="C46" s="2" t="s">
        <v>314</v>
      </c>
      <c r="D46" s="2" t="s">
        <v>315</v>
      </c>
      <c r="E46" s="2" t="s">
        <v>316</v>
      </c>
      <c r="F46" s="2" t="s">
        <v>317</v>
      </c>
      <c r="G46" s="2" t="s">
        <v>318</v>
      </c>
      <c r="H46" s="2" t="s">
        <v>90</v>
      </c>
      <c r="J46" s="10" t="s">
        <v>14</v>
      </c>
    </row>
    <row r="47" spans="1:10" x14ac:dyDescent="0.25">
      <c r="A47" s="9" t="s">
        <v>244</v>
      </c>
      <c r="B47" s="9" t="s">
        <v>24</v>
      </c>
      <c r="C47" s="2" t="s">
        <v>319</v>
      </c>
      <c r="D47" s="2" t="s">
        <v>320</v>
      </c>
      <c r="E47" s="2" t="s">
        <v>321</v>
      </c>
      <c r="F47" s="2" t="s">
        <v>322</v>
      </c>
      <c r="G47" s="2" t="s">
        <v>323</v>
      </c>
      <c r="H47" s="2" t="s">
        <v>90</v>
      </c>
      <c r="J47" s="10" t="s">
        <v>12</v>
      </c>
    </row>
    <row r="48" spans="1:10" x14ac:dyDescent="0.25">
      <c r="A48" s="9" t="s">
        <v>244</v>
      </c>
      <c r="B48" s="9" t="s">
        <v>25</v>
      </c>
      <c r="C48" s="2" t="s">
        <v>324</v>
      </c>
      <c r="D48" s="2" t="s">
        <v>325</v>
      </c>
      <c r="E48" s="2" t="s">
        <v>326</v>
      </c>
      <c r="F48" s="2" t="s">
        <v>327</v>
      </c>
      <c r="G48" s="2" t="s">
        <v>328</v>
      </c>
      <c r="H48" s="2" t="s">
        <v>90</v>
      </c>
      <c r="J48" s="10" t="s">
        <v>12</v>
      </c>
    </row>
    <row r="49" spans="1:10" x14ac:dyDescent="0.25">
      <c r="A49" s="9" t="s">
        <v>246</v>
      </c>
      <c r="B49" s="20" t="s">
        <v>11</v>
      </c>
      <c r="C49" s="2" t="s">
        <v>346</v>
      </c>
      <c r="D49" s="2" t="s">
        <v>347</v>
      </c>
      <c r="E49" s="2" t="s">
        <v>348</v>
      </c>
      <c r="F49" s="2" t="s">
        <v>349</v>
      </c>
      <c r="G49" s="2" t="s">
        <v>350</v>
      </c>
      <c r="H49" s="2" t="s">
        <v>90</v>
      </c>
      <c r="J49" s="10" t="s">
        <v>21</v>
      </c>
    </row>
    <row r="50" spans="1:10" x14ac:dyDescent="0.25">
      <c r="A50" s="9" t="s">
        <v>246</v>
      </c>
      <c r="B50" s="9" t="s">
        <v>13</v>
      </c>
      <c r="C50" s="2" t="s">
        <v>351</v>
      </c>
      <c r="D50" s="2" t="s">
        <v>347</v>
      </c>
      <c r="E50" s="2" t="s">
        <v>352</v>
      </c>
      <c r="F50" s="2" t="s">
        <v>349</v>
      </c>
      <c r="G50" s="2" t="s">
        <v>353</v>
      </c>
      <c r="H50" s="2" t="s">
        <v>90</v>
      </c>
      <c r="J50" s="10" t="s">
        <v>18</v>
      </c>
    </row>
    <row r="51" spans="1:10" x14ac:dyDescent="0.25">
      <c r="A51" s="9" t="s">
        <v>246</v>
      </c>
      <c r="B51" s="20" t="s">
        <v>15</v>
      </c>
      <c r="C51" s="2" t="s">
        <v>354</v>
      </c>
      <c r="D51" s="2" t="s">
        <v>352</v>
      </c>
      <c r="E51" s="2" t="s">
        <v>348</v>
      </c>
      <c r="F51" s="2" t="s">
        <v>349</v>
      </c>
      <c r="G51" s="2" t="s">
        <v>353</v>
      </c>
      <c r="H51" s="2" t="s">
        <v>90</v>
      </c>
      <c r="J51" s="10" t="s">
        <v>14</v>
      </c>
    </row>
    <row r="52" spans="1:10" x14ac:dyDescent="0.25">
      <c r="A52" s="9" t="s">
        <v>246</v>
      </c>
      <c r="B52" s="9" t="s">
        <v>16</v>
      </c>
      <c r="C52" s="2" t="s">
        <v>355</v>
      </c>
      <c r="D52" s="2" t="s">
        <v>356</v>
      </c>
      <c r="E52" s="2" t="s">
        <v>357</v>
      </c>
      <c r="F52" s="2" t="s">
        <v>358</v>
      </c>
      <c r="G52" s="2" t="s">
        <v>359</v>
      </c>
      <c r="H52" s="2" t="s">
        <v>360</v>
      </c>
      <c r="J52" s="10" t="s">
        <v>23</v>
      </c>
    </row>
    <row r="53" spans="1:10" x14ac:dyDescent="0.25">
      <c r="A53" s="9" t="s">
        <v>246</v>
      </c>
      <c r="B53" s="9" t="s">
        <v>17</v>
      </c>
      <c r="C53" s="2" t="s">
        <v>361</v>
      </c>
      <c r="D53" s="2" t="s">
        <v>362</v>
      </c>
      <c r="E53" s="2" t="s">
        <v>363</v>
      </c>
      <c r="F53" s="2" t="s">
        <v>364</v>
      </c>
      <c r="G53" s="2" t="s">
        <v>365</v>
      </c>
      <c r="H53" s="2" t="s">
        <v>90</v>
      </c>
      <c r="J53" s="10" t="s">
        <v>14</v>
      </c>
    </row>
    <row r="54" spans="1:10" x14ac:dyDescent="0.25">
      <c r="A54" s="9" t="s">
        <v>246</v>
      </c>
      <c r="B54" s="9" t="s">
        <v>19</v>
      </c>
      <c r="C54" s="2" t="s">
        <v>366</v>
      </c>
      <c r="D54" s="2" t="s">
        <v>367</v>
      </c>
      <c r="E54" s="2" t="s">
        <v>368</v>
      </c>
      <c r="F54" s="2" t="s">
        <v>369</v>
      </c>
      <c r="G54" s="2" t="s">
        <v>370</v>
      </c>
      <c r="H54" s="2" t="s">
        <v>90</v>
      </c>
      <c r="J54" s="10" t="s">
        <v>18</v>
      </c>
    </row>
    <row r="55" spans="1:10" x14ac:dyDescent="0.25">
      <c r="A55" s="9" t="s">
        <v>246</v>
      </c>
      <c r="B55" s="9" t="s">
        <v>20</v>
      </c>
      <c r="C55" s="2" t="s">
        <v>371</v>
      </c>
      <c r="D55" s="2" t="s">
        <v>372</v>
      </c>
      <c r="E55" s="2" t="s">
        <v>373</v>
      </c>
      <c r="F55" s="2" t="s">
        <v>374</v>
      </c>
      <c r="G55" s="2" t="s">
        <v>375</v>
      </c>
      <c r="H55" s="2" t="s">
        <v>376</v>
      </c>
      <c r="J55" s="10" t="s">
        <v>23</v>
      </c>
    </row>
    <row r="56" spans="1:10" x14ac:dyDescent="0.25">
      <c r="A56" s="9" t="s">
        <v>246</v>
      </c>
      <c r="B56" s="9" t="s">
        <v>22</v>
      </c>
      <c r="C56" s="2" t="s">
        <v>377</v>
      </c>
      <c r="D56" s="2" t="s">
        <v>378</v>
      </c>
      <c r="E56" s="2" t="s">
        <v>379</v>
      </c>
      <c r="F56" s="2" t="s">
        <v>380</v>
      </c>
      <c r="G56" s="2" t="s">
        <v>381</v>
      </c>
      <c r="H56" s="2" t="s">
        <v>90</v>
      </c>
      <c r="J56" s="10" t="s">
        <v>12</v>
      </c>
    </row>
    <row r="57" spans="1:10" x14ac:dyDescent="0.25">
      <c r="A57" s="9" t="s">
        <v>246</v>
      </c>
      <c r="B57" s="9" t="s">
        <v>24</v>
      </c>
      <c r="C57" s="2" t="s">
        <v>382</v>
      </c>
      <c r="D57" s="2" t="s">
        <v>383</v>
      </c>
      <c r="E57" s="2" t="s">
        <v>384</v>
      </c>
      <c r="F57" s="2" t="s">
        <v>385</v>
      </c>
      <c r="G57" s="2" t="s">
        <v>386</v>
      </c>
      <c r="H57" s="2" t="s">
        <v>90</v>
      </c>
      <c r="J57" s="10" t="s">
        <v>21</v>
      </c>
    </row>
    <row r="58" spans="1:10" x14ac:dyDescent="0.25">
      <c r="A58" s="9" t="s">
        <v>246</v>
      </c>
      <c r="B58" s="9" t="s">
        <v>25</v>
      </c>
      <c r="C58" s="2" t="s">
        <v>387</v>
      </c>
      <c r="D58" s="2" t="s">
        <v>388</v>
      </c>
      <c r="E58" s="2" t="s">
        <v>389</v>
      </c>
      <c r="F58" s="2" t="s">
        <v>390</v>
      </c>
      <c r="G58" s="2" t="s">
        <v>391</v>
      </c>
      <c r="H58" s="2" t="s">
        <v>90</v>
      </c>
      <c r="J58" s="10" t="s">
        <v>18</v>
      </c>
    </row>
    <row r="59" spans="1:10" x14ac:dyDescent="0.25">
      <c r="A59" s="9" t="s">
        <v>246</v>
      </c>
      <c r="B59" s="9" t="s">
        <v>26</v>
      </c>
      <c r="C59" s="2" t="s">
        <v>392</v>
      </c>
      <c r="D59" s="2" t="s">
        <v>393</v>
      </c>
      <c r="E59" s="2" t="s">
        <v>394</v>
      </c>
      <c r="F59" s="2" t="s">
        <v>395</v>
      </c>
      <c r="G59" s="2" t="s">
        <v>386</v>
      </c>
      <c r="H59" s="2" t="s">
        <v>90</v>
      </c>
      <c r="J59" s="10" t="s">
        <v>21</v>
      </c>
    </row>
    <row r="60" spans="1:10" x14ac:dyDescent="0.25">
      <c r="A60" s="9" t="s">
        <v>246</v>
      </c>
      <c r="B60" s="9" t="s">
        <v>27</v>
      </c>
      <c r="C60" s="2" t="s">
        <v>396</v>
      </c>
      <c r="D60" s="2" t="s">
        <v>397</v>
      </c>
      <c r="E60" s="2" t="s">
        <v>398</v>
      </c>
      <c r="F60" s="2" t="s">
        <v>399</v>
      </c>
      <c r="G60" s="2" t="s">
        <v>400</v>
      </c>
      <c r="H60" s="2" t="s">
        <v>90</v>
      </c>
      <c r="J60" s="10" t="s">
        <v>12</v>
      </c>
    </row>
    <row r="61" spans="1:10" x14ac:dyDescent="0.25">
      <c r="A61" s="9" t="s">
        <v>246</v>
      </c>
      <c r="B61" s="9" t="s">
        <v>28</v>
      </c>
      <c r="C61" s="2" t="s">
        <v>401</v>
      </c>
      <c r="D61" s="2" t="s">
        <v>402</v>
      </c>
      <c r="E61" s="2" t="s">
        <v>403</v>
      </c>
      <c r="F61" s="2" t="s">
        <v>404</v>
      </c>
      <c r="G61" s="2" t="s">
        <v>405</v>
      </c>
      <c r="H61" s="2" t="s">
        <v>90</v>
      </c>
      <c r="J61" s="10" t="s">
        <v>21</v>
      </c>
    </row>
    <row r="62" spans="1:10" x14ac:dyDescent="0.25">
      <c r="A62" s="9" t="s">
        <v>246</v>
      </c>
      <c r="B62" s="9" t="s">
        <v>29</v>
      </c>
      <c r="C62" s="2" t="s">
        <v>406</v>
      </c>
      <c r="D62" s="2" t="s">
        <v>407</v>
      </c>
      <c r="E62" s="2" t="s">
        <v>408</v>
      </c>
      <c r="F62" s="2" t="s">
        <v>409</v>
      </c>
      <c r="G62" s="2" t="s">
        <v>410</v>
      </c>
      <c r="H62" s="2" t="s">
        <v>411</v>
      </c>
      <c r="J62" s="10" t="s">
        <v>23</v>
      </c>
    </row>
    <row r="63" spans="1:10" x14ac:dyDescent="0.25">
      <c r="A63" s="9" t="s">
        <v>246</v>
      </c>
      <c r="B63" s="9" t="s">
        <v>30</v>
      </c>
      <c r="C63" s="2" t="s">
        <v>412</v>
      </c>
      <c r="D63" s="2" t="s">
        <v>413</v>
      </c>
      <c r="E63" s="2" t="s">
        <v>414</v>
      </c>
      <c r="F63" s="2" t="s">
        <v>415</v>
      </c>
      <c r="G63" s="2" t="s">
        <v>416</v>
      </c>
      <c r="H63" s="2" t="s">
        <v>90</v>
      </c>
      <c r="J63" s="10" t="s">
        <v>14</v>
      </c>
    </row>
    <row r="64" spans="1:10" x14ac:dyDescent="0.25">
      <c r="A64" s="9" t="s">
        <v>246</v>
      </c>
      <c r="B64" s="9" t="s">
        <v>31</v>
      </c>
      <c r="C64" s="2" t="s">
        <v>417</v>
      </c>
      <c r="D64" s="2" t="s">
        <v>367</v>
      </c>
      <c r="E64" s="2" t="s">
        <v>418</v>
      </c>
      <c r="F64" s="2" t="s">
        <v>369</v>
      </c>
      <c r="G64" s="2" t="s">
        <v>370</v>
      </c>
      <c r="H64" s="2" t="s">
        <v>90</v>
      </c>
      <c r="J64" s="10" t="s">
        <v>14</v>
      </c>
    </row>
    <row r="65" spans="1:10" x14ac:dyDescent="0.25">
      <c r="A65" s="9" t="s">
        <v>253</v>
      </c>
      <c r="B65" s="9" t="s">
        <v>11</v>
      </c>
      <c r="C65" s="2" t="s">
        <v>431</v>
      </c>
      <c r="D65" s="2" t="s">
        <v>432</v>
      </c>
      <c r="E65" s="2" t="s">
        <v>433</v>
      </c>
      <c r="F65" s="2" t="s">
        <v>434</v>
      </c>
      <c r="G65" s="2" t="s">
        <v>435</v>
      </c>
      <c r="H65" s="2" t="s">
        <v>90</v>
      </c>
      <c r="J65" s="10" t="s">
        <v>14</v>
      </c>
    </row>
    <row r="66" spans="1:10" x14ac:dyDescent="0.25">
      <c r="A66" s="9" t="s">
        <v>253</v>
      </c>
      <c r="B66" s="9" t="s">
        <v>13</v>
      </c>
      <c r="C66" s="2" t="s">
        <v>436</v>
      </c>
      <c r="D66" s="2" t="s">
        <v>437</v>
      </c>
      <c r="E66" s="2" t="s">
        <v>438</v>
      </c>
      <c r="F66" s="2" t="s">
        <v>439</v>
      </c>
      <c r="G66" s="2" t="s">
        <v>440</v>
      </c>
      <c r="H66" s="2" t="s">
        <v>90</v>
      </c>
      <c r="J66" s="10" t="s">
        <v>18</v>
      </c>
    </row>
    <row r="67" spans="1:10" x14ac:dyDescent="0.25">
      <c r="A67" s="9" t="s">
        <v>253</v>
      </c>
      <c r="B67" s="9" t="s">
        <v>15</v>
      </c>
      <c r="C67" s="2" t="s">
        <v>441</v>
      </c>
      <c r="D67" s="2" t="s">
        <v>442</v>
      </c>
      <c r="E67" s="2" t="s">
        <v>443</v>
      </c>
      <c r="F67" s="2" t="s">
        <v>444</v>
      </c>
      <c r="G67" s="2" t="s">
        <v>445</v>
      </c>
      <c r="H67" s="2" t="s">
        <v>90</v>
      </c>
      <c r="J67" s="10" t="s">
        <v>21</v>
      </c>
    </row>
    <row r="68" spans="1:10" x14ac:dyDescent="0.25">
      <c r="A68" s="9" t="s">
        <v>253</v>
      </c>
      <c r="B68" s="9" t="s">
        <v>16</v>
      </c>
      <c r="C68" s="2" t="s">
        <v>446</v>
      </c>
      <c r="D68" s="2" t="s">
        <v>447</v>
      </c>
      <c r="E68" s="2" t="s">
        <v>448</v>
      </c>
      <c r="F68" s="2" t="s">
        <v>449</v>
      </c>
      <c r="G68" s="2" t="s">
        <v>450</v>
      </c>
      <c r="H68" s="2" t="s">
        <v>90</v>
      </c>
      <c r="J68" s="10" t="s">
        <v>12</v>
      </c>
    </row>
    <row r="69" spans="1:10" x14ac:dyDescent="0.25">
      <c r="A69" s="9" t="s">
        <v>253</v>
      </c>
      <c r="B69" s="9" t="s">
        <v>17</v>
      </c>
      <c r="C69" s="2" t="s">
        <v>451</v>
      </c>
      <c r="D69" s="2" t="s">
        <v>452</v>
      </c>
      <c r="E69" s="2" t="s">
        <v>453</v>
      </c>
      <c r="F69" s="2" t="s">
        <v>454</v>
      </c>
      <c r="G69" s="2" t="s">
        <v>455</v>
      </c>
      <c r="H69" s="2" t="s">
        <v>90</v>
      </c>
      <c r="J69" s="10" t="s">
        <v>18</v>
      </c>
    </row>
    <row r="70" spans="1:10" x14ac:dyDescent="0.25">
      <c r="A70" s="9" t="s">
        <v>253</v>
      </c>
      <c r="B70" s="9" t="s">
        <v>19</v>
      </c>
      <c r="C70" s="2" t="s">
        <v>456</v>
      </c>
      <c r="D70" s="2" t="s">
        <v>457</v>
      </c>
      <c r="E70" s="2" t="s">
        <v>458</v>
      </c>
      <c r="F70" s="2" t="s">
        <v>459</v>
      </c>
      <c r="G70" s="2" t="s">
        <v>460</v>
      </c>
      <c r="H70" s="2" t="s">
        <v>90</v>
      </c>
      <c r="J70" s="10" t="s">
        <v>21</v>
      </c>
    </row>
    <row r="71" spans="1:10" x14ac:dyDescent="0.25">
      <c r="A71" s="9" t="s">
        <v>253</v>
      </c>
      <c r="B71" s="9" t="s">
        <v>20</v>
      </c>
      <c r="C71" s="2" t="s">
        <v>461</v>
      </c>
      <c r="D71" s="2" t="s">
        <v>462</v>
      </c>
      <c r="E71" s="2" t="s">
        <v>463</v>
      </c>
      <c r="F71" s="2" t="s">
        <v>464</v>
      </c>
      <c r="G71" s="2" t="s">
        <v>465</v>
      </c>
      <c r="H71" s="2" t="s">
        <v>90</v>
      </c>
      <c r="J71" s="10" t="s">
        <v>21</v>
      </c>
    </row>
    <row r="72" spans="1:10" x14ac:dyDescent="0.25">
      <c r="A72" s="9" t="s">
        <v>253</v>
      </c>
      <c r="B72" s="9" t="s">
        <v>22</v>
      </c>
      <c r="C72" s="2" t="s">
        <v>466</v>
      </c>
      <c r="D72" s="2" t="s">
        <v>467</v>
      </c>
      <c r="E72" s="2" t="s">
        <v>468</v>
      </c>
      <c r="F72" s="2" t="s">
        <v>469</v>
      </c>
      <c r="G72" s="2" t="s">
        <v>470</v>
      </c>
      <c r="H72" s="2" t="s">
        <v>90</v>
      </c>
      <c r="J72" s="10" t="s">
        <v>14</v>
      </c>
    </row>
    <row r="73" spans="1:10" x14ac:dyDescent="0.25">
      <c r="A73" s="9" t="s">
        <v>253</v>
      </c>
      <c r="B73" s="9" t="s">
        <v>24</v>
      </c>
      <c r="C73" s="2" t="s">
        <v>471</v>
      </c>
      <c r="D73" s="2" t="s">
        <v>472</v>
      </c>
      <c r="E73" s="2" t="s">
        <v>473</v>
      </c>
      <c r="F73" s="2" t="s">
        <v>474</v>
      </c>
      <c r="G73" s="2" t="s">
        <v>475</v>
      </c>
      <c r="H73" s="2" t="s">
        <v>90</v>
      </c>
      <c r="J73" s="10" t="s">
        <v>12</v>
      </c>
    </row>
    <row r="74" spans="1:10" x14ac:dyDescent="0.25">
      <c r="A74" s="9" t="s">
        <v>253</v>
      </c>
      <c r="B74" s="9" t="s">
        <v>25</v>
      </c>
      <c r="C74" s="2" t="s">
        <v>476</v>
      </c>
      <c r="D74" s="2" t="s">
        <v>477</v>
      </c>
      <c r="E74" s="2" t="s">
        <v>478</v>
      </c>
      <c r="F74" s="2" t="s">
        <v>479</v>
      </c>
      <c r="G74" s="2" t="s">
        <v>480</v>
      </c>
      <c r="H74" s="2" t="s">
        <v>90</v>
      </c>
      <c r="J74" s="10" t="s">
        <v>21</v>
      </c>
    </row>
    <row r="75" spans="1:10" x14ac:dyDescent="0.25">
      <c r="A75" s="9" t="s">
        <v>253</v>
      </c>
      <c r="B75" s="9" t="s">
        <v>26</v>
      </c>
      <c r="C75" s="2" t="s">
        <v>481</v>
      </c>
      <c r="D75" s="2" t="s">
        <v>482</v>
      </c>
      <c r="E75" s="2" t="s">
        <v>483</v>
      </c>
      <c r="F75" s="2" t="s">
        <v>484</v>
      </c>
      <c r="G75" s="2" t="s">
        <v>485</v>
      </c>
      <c r="H75" s="2" t="s">
        <v>90</v>
      </c>
      <c r="J75" s="10" t="s">
        <v>14</v>
      </c>
    </row>
    <row r="76" spans="1:10" x14ac:dyDescent="0.25">
      <c r="A76" s="9" t="s">
        <v>253</v>
      </c>
      <c r="B76" s="9" t="s">
        <v>27</v>
      </c>
      <c r="C76" s="2" t="s">
        <v>486</v>
      </c>
      <c r="D76" s="2" t="s">
        <v>487</v>
      </c>
      <c r="E76" s="2" t="s">
        <v>488</v>
      </c>
      <c r="F76" s="2" t="s">
        <v>489</v>
      </c>
      <c r="G76" s="2" t="s">
        <v>490</v>
      </c>
      <c r="H76" s="2" t="s">
        <v>90</v>
      </c>
      <c r="J76" s="10" t="s">
        <v>12</v>
      </c>
    </row>
    <row r="77" spans="1:10" x14ac:dyDescent="0.25">
      <c r="A77" s="9" t="s">
        <v>1503</v>
      </c>
      <c r="B77" s="9" t="s">
        <v>11</v>
      </c>
      <c r="C77" s="2" t="s">
        <v>531</v>
      </c>
      <c r="D77" s="2" t="s">
        <v>532</v>
      </c>
      <c r="E77" s="2" t="s">
        <v>533</v>
      </c>
      <c r="F77" s="2" t="s">
        <v>534</v>
      </c>
      <c r="G77" s="2" t="s">
        <v>535</v>
      </c>
      <c r="J77" s="10" t="s">
        <v>21</v>
      </c>
    </row>
    <row r="78" spans="1:10" x14ac:dyDescent="0.25">
      <c r="A78" s="9" t="s">
        <v>1503</v>
      </c>
      <c r="B78" s="9" t="s">
        <v>13</v>
      </c>
      <c r="C78" s="2" t="s">
        <v>536</v>
      </c>
      <c r="D78" s="2" t="s">
        <v>537</v>
      </c>
      <c r="E78" s="2" t="s">
        <v>538</v>
      </c>
      <c r="F78" s="2" t="s">
        <v>539</v>
      </c>
      <c r="G78" s="2" t="s">
        <v>540</v>
      </c>
      <c r="J78" s="10" t="s">
        <v>21</v>
      </c>
    </row>
    <row r="79" spans="1:10" x14ac:dyDescent="0.25">
      <c r="A79" s="9" t="s">
        <v>1503</v>
      </c>
      <c r="B79" s="9" t="s">
        <v>15</v>
      </c>
      <c r="C79" s="2" t="s">
        <v>541</v>
      </c>
      <c r="D79" s="2" t="s">
        <v>542</v>
      </c>
      <c r="E79" s="2" t="s">
        <v>543</v>
      </c>
      <c r="F79" s="2" t="s">
        <v>544</v>
      </c>
      <c r="G79" s="2" t="s">
        <v>545</v>
      </c>
      <c r="H79" s="2" t="s">
        <v>90</v>
      </c>
      <c r="J79" s="10" t="s">
        <v>14</v>
      </c>
    </row>
    <row r="80" spans="1:10" x14ac:dyDescent="0.25">
      <c r="A80" s="9" t="s">
        <v>1503</v>
      </c>
      <c r="B80" s="9" t="s">
        <v>16</v>
      </c>
      <c r="C80" s="2" t="s">
        <v>546</v>
      </c>
      <c r="D80" s="2" t="s">
        <v>547</v>
      </c>
      <c r="E80" s="2" t="s">
        <v>548</v>
      </c>
      <c r="F80" s="2" t="s">
        <v>549</v>
      </c>
      <c r="G80" s="2" t="s">
        <v>550</v>
      </c>
      <c r="H80" s="2" t="s">
        <v>90</v>
      </c>
      <c r="J80" s="10" t="s">
        <v>12</v>
      </c>
    </row>
    <row r="81" spans="1:10" x14ac:dyDescent="0.25">
      <c r="A81" s="9" t="s">
        <v>1503</v>
      </c>
      <c r="B81" s="9" t="s">
        <v>17</v>
      </c>
      <c r="C81" s="2" t="s">
        <v>551</v>
      </c>
      <c r="D81" s="2" t="s">
        <v>552</v>
      </c>
      <c r="E81" s="2" t="s">
        <v>553</v>
      </c>
      <c r="F81" s="2" t="s">
        <v>554</v>
      </c>
      <c r="G81" s="2" t="s">
        <v>555</v>
      </c>
      <c r="H81" s="2" t="s">
        <v>540</v>
      </c>
      <c r="J81" s="10" t="s">
        <v>18</v>
      </c>
    </row>
    <row r="82" spans="1:10" x14ac:dyDescent="0.25">
      <c r="A82" s="9" t="s">
        <v>1503</v>
      </c>
      <c r="B82" s="9" t="s">
        <v>19</v>
      </c>
      <c r="C82" s="2" t="s">
        <v>556</v>
      </c>
      <c r="D82" s="2" t="s">
        <v>557</v>
      </c>
      <c r="E82" s="2" t="s">
        <v>558</v>
      </c>
      <c r="F82" s="2" t="s">
        <v>559</v>
      </c>
      <c r="G82" s="2" t="s">
        <v>560</v>
      </c>
      <c r="H82" s="2" t="s">
        <v>90</v>
      </c>
      <c r="J82" s="10" t="s">
        <v>18</v>
      </c>
    </row>
    <row r="83" spans="1:10" x14ac:dyDescent="0.25">
      <c r="A83" s="9" t="s">
        <v>1503</v>
      </c>
      <c r="B83" s="9" t="s">
        <v>20</v>
      </c>
      <c r="C83" s="2" t="s">
        <v>561</v>
      </c>
      <c r="D83" s="2" t="s">
        <v>562</v>
      </c>
      <c r="E83" s="2" t="s">
        <v>563</v>
      </c>
      <c r="F83" s="2" t="s">
        <v>564</v>
      </c>
      <c r="G83" s="2" t="s">
        <v>565</v>
      </c>
      <c r="H83" s="2" t="s">
        <v>90</v>
      </c>
      <c r="J83" s="10" t="s">
        <v>14</v>
      </c>
    </row>
    <row r="84" spans="1:10" x14ac:dyDescent="0.25">
      <c r="A84" s="9" t="s">
        <v>1503</v>
      </c>
      <c r="B84" s="9" t="s">
        <v>22</v>
      </c>
      <c r="C84" s="2" t="s">
        <v>566</v>
      </c>
      <c r="D84" s="2" t="s">
        <v>567</v>
      </c>
      <c r="E84" s="2" t="s">
        <v>568</v>
      </c>
      <c r="F84" s="2" t="s">
        <v>569</v>
      </c>
      <c r="G84" s="2" t="s">
        <v>570</v>
      </c>
      <c r="H84" s="2" t="s">
        <v>540</v>
      </c>
      <c r="J84" s="10" t="s">
        <v>18</v>
      </c>
    </row>
    <row r="85" spans="1:10" x14ac:dyDescent="0.25">
      <c r="A85" s="9" t="s">
        <v>1503</v>
      </c>
      <c r="B85" s="9" t="s">
        <v>24</v>
      </c>
      <c r="C85" s="2" t="s">
        <v>782</v>
      </c>
      <c r="D85" s="2" t="s">
        <v>571</v>
      </c>
      <c r="E85" s="2" t="s">
        <v>572</v>
      </c>
      <c r="F85" s="2" t="s">
        <v>573</v>
      </c>
      <c r="G85" s="2" t="s">
        <v>574</v>
      </c>
      <c r="H85" s="2" t="s">
        <v>540</v>
      </c>
      <c r="J85" s="10" t="s">
        <v>21</v>
      </c>
    </row>
    <row r="86" spans="1:10" x14ac:dyDescent="0.25">
      <c r="A86" s="9" t="s">
        <v>1503</v>
      </c>
      <c r="B86" s="9" t="s">
        <v>25</v>
      </c>
      <c r="C86" s="2" t="s">
        <v>575</v>
      </c>
      <c r="D86" s="2" t="s">
        <v>576</v>
      </c>
      <c r="E86" s="2" t="s">
        <v>577</v>
      </c>
      <c r="F86" s="2" t="s">
        <v>578</v>
      </c>
      <c r="G86" s="2" t="s">
        <v>579</v>
      </c>
      <c r="H86" s="2" t="s">
        <v>540</v>
      </c>
      <c r="J86" s="10" t="s">
        <v>18</v>
      </c>
    </row>
    <row r="87" spans="1:10" x14ac:dyDescent="0.25">
      <c r="A87" s="9" t="s">
        <v>1503</v>
      </c>
      <c r="B87" s="9" t="s">
        <v>26</v>
      </c>
      <c r="C87" s="2" t="s">
        <v>580</v>
      </c>
      <c r="D87" s="2" t="s">
        <v>581</v>
      </c>
      <c r="E87" s="2" t="s">
        <v>582</v>
      </c>
      <c r="F87" s="2" t="s">
        <v>583</v>
      </c>
      <c r="G87" s="2" t="s">
        <v>584</v>
      </c>
      <c r="H87" s="2" t="s">
        <v>540</v>
      </c>
      <c r="J87" s="10" t="s">
        <v>18</v>
      </c>
    </row>
    <row r="88" spans="1:10" x14ac:dyDescent="0.25">
      <c r="A88" s="9" t="s">
        <v>1503</v>
      </c>
      <c r="B88" s="9" t="s">
        <v>27</v>
      </c>
      <c r="C88" s="2" t="s">
        <v>585</v>
      </c>
      <c r="D88" s="2" t="s">
        <v>586</v>
      </c>
      <c r="E88" s="2" t="s">
        <v>587</v>
      </c>
      <c r="F88" s="2" t="s">
        <v>588</v>
      </c>
      <c r="G88" s="2" t="s">
        <v>589</v>
      </c>
      <c r="H88" s="2" t="s">
        <v>540</v>
      </c>
      <c r="J88" s="10" t="s">
        <v>21</v>
      </c>
    </row>
    <row r="89" spans="1:10" x14ac:dyDescent="0.25">
      <c r="A89" s="9" t="s">
        <v>1503</v>
      </c>
      <c r="B89" s="9" t="s">
        <v>28</v>
      </c>
      <c r="C89" s="2" t="s">
        <v>590</v>
      </c>
      <c r="D89" s="2" t="s">
        <v>591</v>
      </c>
      <c r="E89" s="2" t="s">
        <v>592</v>
      </c>
      <c r="F89" s="2" t="s">
        <v>593</v>
      </c>
      <c r="G89" s="2" t="s">
        <v>594</v>
      </c>
      <c r="H89" s="2" t="s">
        <v>90</v>
      </c>
      <c r="J89" s="10" t="s">
        <v>21</v>
      </c>
    </row>
    <row r="90" spans="1:10" x14ac:dyDescent="0.25">
      <c r="A90" s="9" t="s">
        <v>1503</v>
      </c>
      <c r="B90" s="9" t="s">
        <v>29</v>
      </c>
      <c r="C90" s="2" t="s">
        <v>595</v>
      </c>
      <c r="D90" s="2" t="s">
        <v>596</v>
      </c>
      <c r="E90" s="2" t="s">
        <v>597</v>
      </c>
      <c r="F90" s="2" t="s">
        <v>598</v>
      </c>
      <c r="G90" s="2" t="s">
        <v>599</v>
      </c>
      <c r="H90" s="2" t="s">
        <v>90</v>
      </c>
      <c r="J90" s="10" t="s">
        <v>18</v>
      </c>
    </row>
    <row r="91" spans="1:10" x14ac:dyDescent="0.25">
      <c r="A91" s="9" t="s">
        <v>1503</v>
      </c>
      <c r="B91" s="9" t="s">
        <v>30</v>
      </c>
      <c r="C91" s="2" t="s">
        <v>600</v>
      </c>
      <c r="D91" s="2" t="s">
        <v>14</v>
      </c>
      <c r="E91" s="2" t="s">
        <v>21</v>
      </c>
      <c r="F91" s="2" t="s">
        <v>18</v>
      </c>
      <c r="G91" s="2" t="s">
        <v>90</v>
      </c>
      <c r="H91" s="2" t="s">
        <v>23</v>
      </c>
      <c r="J91" s="10" t="s">
        <v>12</v>
      </c>
    </row>
    <row r="92" spans="1:10" x14ac:dyDescent="0.25">
      <c r="A92" s="9" t="s">
        <v>1503</v>
      </c>
      <c r="B92" s="9" t="s">
        <v>31</v>
      </c>
      <c r="C92" s="2" t="s">
        <v>601</v>
      </c>
      <c r="D92" s="2" t="s">
        <v>602</v>
      </c>
      <c r="E92" s="2" t="s">
        <v>603</v>
      </c>
      <c r="F92" s="2" t="s">
        <v>604</v>
      </c>
      <c r="G92" s="2" t="s">
        <v>605</v>
      </c>
      <c r="H92" s="2" t="s">
        <v>90</v>
      </c>
      <c r="J92" s="10" t="s">
        <v>14</v>
      </c>
    </row>
    <row r="93" spans="1:10" x14ac:dyDescent="0.25">
      <c r="A93" s="9" t="s">
        <v>1503</v>
      </c>
      <c r="B93" s="9" t="s">
        <v>32</v>
      </c>
      <c r="C93" s="2" t="s">
        <v>606</v>
      </c>
      <c r="D93" s="2" t="s">
        <v>607</v>
      </c>
      <c r="E93" s="2" t="s">
        <v>608</v>
      </c>
      <c r="F93" s="2" t="s">
        <v>609</v>
      </c>
      <c r="G93" s="2" t="s">
        <v>610</v>
      </c>
      <c r="H93" s="2" t="s">
        <v>90</v>
      </c>
      <c r="J93" s="10" t="s">
        <v>18</v>
      </c>
    </row>
    <row r="94" spans="1:10" x14ac:dyDescent="0.25">
      <c r="A94" s="9" t="s">
        <v>1503</v>
      </c>
      <c r="B94" s="9" t="s">
        <v>33</v>
      </c>
      <c r="C94" s="2" t="s">
        <v>611</v>
      </c>
      <c r="D94" s="2" t="s">
        <v>432</v>
      </c>
      <c r="E94" s="2" t="s">
        <v>612</v>
      </c>
      <c r="F94" s="2" t="s">
        <v>433</v>
      </c>
      <c r="G94" s="2" t="s">
        <v>613</v>
      </c>
      <c r="H94" s="2" t="s">
        <v>90</v>
      </c>
      <c r="J94" s="10" t="s">
        <v>14</v>
      </c>
    </row>
    <row r="95" spans="1:10" x14ac:dyDescent="0.25">
      <c r="A95" s="9" t="s">
        <v>1503</v>
      </c>
      <c r="B95" s="9" t="s">
        <v>34</v>
      </c>
      <c r="C95" s="2" t="s">
        <v>614</v>
      </c>
      <c r="D95" s="2" t="s">
        <v>615</v>
      </c>
      <c r="E95" s="2" t="s">
        <v>616</v>
      </c>
      <c r="F95" s="2" t="s">
        <v>617</v>
      </c>
      <c r="G95" s="2" t="s">
        <v>618</v>
      </c>
      <c r="H95" s="2" t="s">
        <v>540</v>
      </c>
      <c r="J95" s="10" t="s">
        <v>18</v>
      </c>
    </row>
    <row r="96" spans="1:10" x14ac:dyDescent="0.25">
      <c r="A96" s="9" t="s">
        <v>1503</v>
      </c>
      <c r="B96" s="9" t="s">
        <v>35</v>
      </c>
      <c r="C96" s="2" t="s">
        <v>619</v>
      </c>
      <c r="D96" s="2" t="s">
        <v>620</v>
      </c>
      <c r="E96" s="2" t="s">
        <v>621</v>
      </c>
      <c r="F96" s="2" t="s">
        <v>622</v>
      </c>
      <c r="G96" s="2" t="s">
        <v>623</v>
      </c>
      <c r="H96" s="2" t="s">
        <v>540</v>
      </c>
      <c r="J96" s="10" t="s">
        <v>18</v>
      </c>
    </row>
    <row r="97" spans="1:10" x14ac:dyDescent="0.25">
      <c r="A97" s="9" t="s">
        <v>1503</v>
      </c>
      <c r="B97" s="9" t="s">
        <v>36</v>
      </c>
      <c r="C97" s="2" t="s">
        <v>624</v>
      </c>
      <c r="D97" s="2" t="s">
        <v>625</v>
      </c>
      <c r="E97" s="2" t="s">
        <v>626</v>
      </c>
      <c r="F97" s="2" t="s">
        <v>627</v>
      </c>
      <c r="G97" s="2" t="s">
        <v>628</v>
      </c>
      <c r="H97" s="2" t="s">
        <v>90</v>
      </c>
      <c r="J97" s="10" t="s">
        <v>18</v>
      </c>
    </row>
    <row r="98" spans="1:10" x14ac:dyDescent="0.25">
      <c r="A98" s="9" t="s">
        <v>1503</v>
      </c>
      <c r="B98" s="9" t="s">
        <v>37</v>
      </c>
      <c r="C98" s="2" t="s">
        <v>629</v>
      </c>
      <c r="D98" s="2" t="s">
        <v>630</v>
      </c>
      <c r="E98" s="2" t="s">
        <v>631</v>
      </c>
      <c r="F98" s="2" t="s">
        <v>632</v>
      </c>
      <c r="G98" s="2" t="s">
        <v>633</v>
      </c>
      <c r="H98" s="2" t="s">
        <v>90</v>
      </c>
      <c r="J98" s="10" t="s">
        <v>14</v>
      </c>
    </row>
    <row r="99" spans="1:10" x14ac:dyDescent="0.25">
      <c r="A99" s="9" t="s">
        <v>1503</v>
      </c>
      <c r="B99" s="9" t="s">
        <v>38</v>
      </c>
      <c r="C99" s="2" t="s">
        <v>634</v>
      </c>
      <c r="D99" s="2" t="s">
        <v>635</v>
      </c>
      <c r="E99" s="2" t="s">
        <v>636</v>
      </c>
      <c r="F99" s="2" t="s">
        <v>637</v>
      </c>
      <c r="G99" s="2" t="s">
        <v>638</v>
      </c>
      <c r="H99" s="2" t="s">
        <v>90</v>
      </c>
      <c r="J99" s="10" t="s">
        <v>21</v>
      </c>
    </row>
    <row r="100" spans="1:10" x14ac:dyDescent="0.25">
      <c r="A100" s="9" t="s">
        <v>1503</v>
      </c>
      <c r="B100" s="9" t="s">
        <v>39</v>
      </c>
      <c r="C100" s="2" t="s">
        <v>639</v>
      </c>
      <c r="D100" s="2" t="s">
        <v>640</v>
      </c>
      <c r="E100" s="2" t="s">
        <v>641</v>
      </c>
      <c r="F100" s="2" t="s">
        <v>642</v>
      </c>
      <c r="G100" s="2" t="s">
        <v>643</v>
      </c>
      <c r="H100" s="2" t="s">
        <v>90</v>
      </c>
      <c r="J100" s="10" t="s">
        <v>18</v>
      </c>
    </row>
    <row r="101" spans="1:10" x14ac:dyDescent="0.25">
      <c r="A101" s="9" t="s">
        <v>1503</v>
      </c>
      <c r="B101" s="9" t="s">
        <v>40</v>
      </c>
      <c r="C101" s="2" t="s">
        <v>644</v>
      </c>
      <c r="D101" s="2" t="s">
        <v>432</v>
      </c>
      <c r="E101" s="2" t="s">
        <v>645</v>
      </c>
      <c r="F101" s="2" t="s">
        <v>646</v>
      </c>
      <c r="G101" s="2" t="s">
        <v>647</v>
      </c>
      <c r="H101" s="2" t="s">
        <v>90</v>
      </c>
      <c r="J101" s="10" t="s">
        <v>18</v>
      </c>
    </row>
    <row r="102" spans="1:10" x14ac:dyDescent="0.25">
      <c r="A102" s="9" t="s">
        <v>1504</v>
      </c>
      <c r="B102" s="9" t="s">
        <v>41</v>
      </c>
      <c r="C102" s="2" t="s">
        <v>648</v>
      </c>
      <c r="D102" s="2" t="s">
        <v>649</v>
      </c>
      <c r="E102" s="2" t="s">
        <v>650</v>
      </c>
      <c r="F102" s="2" t="s">
        <v>651</v>
      </c>
      <c r="G102" s="2" t="s">
        <v>652</v>
      </c>
      <c r="H102" s="2" t="s">
        <v>90</v>
      </c>
      <c r="J102" s="10" t="s">
        <v>12</v>
      </c>
    </row>
    <row r="103" spans="1:10" x14ac:dyDescent="0.25">
      <c r="A103" s="9" t="s">
        <v>1504</v>
      </c>
      <c r="B103" s="9" t="s">
        <v>42</v>
      </c>
      <c r="C103" s="2" t="s">
        <v>653</v>
      </c>
      <c r="D103" s="2" t="s">
        <v>654</v>
      </c>
      <c r="E103" s="2" t="s">
        <v>655</v>
      </c>
      <c r="F103" s="2" t="s">
        <v>656</v>
      </c>
      <c r="G103" s="2" t="s">
        <v>657</v>
      </c>
      <c r="H103" s="2" t="s">
        <v>90</v>
      </c>
      <c r="J103" s="10" t="s">
        <v>21</v>
      </c>
    </row>
    <row r="104" spans="1:10" x14ac:dyDescent="0.25">
      <c r="A104" s="9" t="s">
        <v>1504</v>
      </c>
      <c r="B104" s="9" t="s">
        <v>43</v>
      </c>
      <c r="C104" s="2" t="s">
        <v>658</v>
      </c>
      <c r="D104" s="2" t="s">
        <v>659</v>
      </c>
      <c r="E104" s="2" t="s">
        <v>660</v>
      </c>
      <c r="F104" s="2" t="s">
        <v>661</v>
      </c>
      <c r="G104" s="2" t="s">
        <v>662</v>
      </c>
      <c r="H104" s="2" t="s">
        <v>90</v>
      </c>
      <c r="J104" s="10" t="s">
        <v>12</v>
      </c>
    </row>
    <row r="105" spans="1:10" x14ac:dyDescent="0.25">
      <c r="A105" s="9" t="s">
        <v>1504</v>
      </c>
      <c r="B105" s="9" t="s">
        <v>44</v>
      </c>
      <c r="C105" s="2" t="s">
        <v>663</v>
      </c>
      <c r="D105" s="2" t="s">
        <v>626</v>
      </c>
      <c r="E105" s="2" t="s">
        <v>627</v>
      </c>
      <c r="F105" s="2" t="s">
        <v>664</v>
      </c>
      <c r="G105" s="2" t="s">
        <v>665</v>
      </c>
      <c r="H105" s="2" t="s">
        <v>90</v>
      </c>
      <c r="J105" s="10" t="s">
        <v>18</v>
      </c>
    </row>
    <row r="106" spans="1:10" x14ac:dyDescent="0.25">
      <c r="A106" s="9" t="s">
        <v>1504</v>
      </c>
      <c r="B106" s="9" t="s">
        <v>45</v>
      </c>
      <c r="C106" s="2" t="s">
        <v>666</v>
      </c>
      <c r="D106" s="2" t="s">
        <v>557</v>
      </c>
      <c r="E106" s="2" t="s">
        <v>558</v>
      </c>
      <c r="F106" s="2" t="s">
        <v>559</v>
      </c>
      <c r="G106" s="2" t="s">
        <v>560</v>
      </c>
      <c r="H106" s="2" t="s">
        <v>90</v>
      </c>
      <c r="J106" s="10" t="s">
        <v>21</v>
      </c>
    </row>
    <row r="107" spans="1:10" x14ac:dyDescent="0.25">
      <c r="A107" s="9" t="s">
        <v>1504</v>
      </c>
      <c r="B107" s="9" t="s">
        <v>46</v>
      </c>
      <c r="C107" s="2" t="s">
        <v>667</v>
      </c>
      <c r="D107" s="2" t="s">
        <v>668</v>
      </c>
      <c r="E107" s="2" t="s">
        <v>669</v>
      </c>
      <c r="F107" s="2" t="s">
        <v>670</v>
      </c>
      <c r="G107" s="2" t="s">
        <v>671</v>
      </c>
      <c r="H107" s="2" t="s">
        <v>90</v>
      </c>
      <c r="J107" s="10" t="s">
        <v>18</v>
      </c>
    </row>
    <row r="108" spans="1:10" x14ac:dyDescent="0.25">
      <c r="A108" s="9" t="s">
        <v>1504</v>
      </c>
      <c r="B108" s="20" t="s">
        <v>48</v>
      </c>
      <c r="C108" s="2" t="s">
        <v>672</v>
      </c>
      <c r="D108" s="2" t="s">
        <v>673</v>
      </c>
      <c r="E108" s="2" t="s">
        <v>674</v>
      </c>
      <c r="F108" s="2" t="s">
        <v>675</v>
      </c>
      <c r="G108" s="2" t="s">
        <v>676</v>
      </c>
      <c r="H108" s="2" t="s">
        <v>709</v>
      </c>
      <c r="J108" s="10" t="s">
        <v>23</v>
      </c>
    </row>
    <row r="109" spans="1:10" x14ac:dyDescent="0.25">
      <c r="A109" s="9" t="s">
        <v>1504</v>
      </c>
      <c r="B109" s="9" t="s">
        <v>50</v>
      </c>
      <c r="C109" s="2" t="s">
        <v>677</v>
      </c>
      <c r="D109" s="2" t="s">
        <v>432</v>
      </c>
      <c r="E109" s="2" t="s">
        <v>678</v>
      </c>
      <c r="F109" s="2" t="s">
        <v>646</v>
      </c>
      <c r="G109" s="2" t="s">
        <v>679</v>
      </c>
      <c r="H109" s="2" t="s">
        <v>90</v>
      </c>
      <c r="J109" s="10" t="s">
        <v>14</v>
      </c>
    </row>
    <row r="110" spans="1:10" x14ac:dyDescent="0.25">
      <c r="A110" s="9" t="s">
        <v>1504</v>
      </c>
      <c r="B110" s="9" t="s">
        <v>52</v>
      </c>
      <c r="C110" s="2" t="s">
        <v>680</v>
      </c>
      <c r="D110" s="2" t="s">
        <v>681</v>
      </c>
      <c r="E110" s="2" t="s">
        <v>631</v>
      </c>
      <c r="F110" s="2" t="s">
        <v>632</v>
      </c>
      <c r="G110" s="2" t="s">
        <v>633</v>
      </c>
      <c r="H110" s="2" t="s">
        <v>90</v>
      </c>
      <c r="J110" s="10" t="s">
        <v>14</v>
      </c>
    </row>
    <row r="111" spans="1:10" x14ac:dyDescent="0.25">
      <c r="A111" s="9" t="s">
        <v>1504</v>
      </c>
      <c r="B111" s="9" t="s">
        <v>54</v>
      </c>
      <c r="C111" s="2" t="s">
        <v>682</v>
      </c>
      <c r="D111" s="2" t="s">
        <v>683</v>
      </c>
      <c r="E111" s="2" t="s">
        <v>684</v>
      </c>
      <c r="F111" s="2" t="s">
        <v>685</v>
      </c>
      <c r="G111" s="2" t="s">
        <v>686</v>
      </c>
      <c r="H111" s="2" t="s">
        <v>90</v>
      </c>
      <c r="J111" s="10" t="s">
        <v>18</v>
      </c>
    </row>
    <row r="112" spans="1:10" x14ac:dyDescent="0.25">
      <c r="A112" s="9" t="s">
        <v>1504</v>
      </c>
      <c r="B112" s="9" t="s">
        <v>56</v>
      </c>
      <c r="C112" s="2" t="s">
        <v>687</v>
      </c>
      <c r="D112" s="2" t="s">
        <v>688</v>
      </c>
      <c r="E112" s="2" t="s">
        <v>689</v>
      </c>
      <c r="F112" s="2" t="s">
        <v>690</v>
      </c>
      <c r="G112" s="2" t="s">
        <v>691</v>
      </c>
      <c r="H112" s="2" t="s">
        <v>90</v>
      </c>
      <c r="J112" s="10" t="s">
        <v>12</v>
      </c>
    </row>
    <row r="113" spans="1:10" x14ac:dyDescent="0.25">
      <c r="A113" s="9" t="s">
        <v>1504</v>
      </c>
      <c r="B113" s="9" t="s">
        <v>58</v>
      </c>
      <c r="C113" s="2" t="s">
        <v>692</v>
      </c>
      <c r="D113" s="2" t="s">
        <v>693</v>
      </c>
      <c r="E113" s="2" t="s">
        <v>694</v>
      </c>
      <c r="F113" s="2" t="s">
        <v>695</v>
      </c>
      <c r="G113" s="2" t="s">
        <v>696</v>
      </c>
      <c r="H113" s="2" t="s">
        <v>90</v>
      </c>
      <c r="J113" s="10" t="s">
        <v>21</v>
      </c>
    </row>
    <row r="114" spans="1:10" x14ac:dyDescent="0.25">
      <c r="A114" s="9" t="s">
        <v>1504</v>
      </c>
      <c r="B114" s="9" t="s">
        <v>711</v>
      </c>
      <c r="C114" s="2" t="s">
        <v>697</v>
      </c>
      <c r="D114" s="2" t="s">
        <v>698</v>
      </c>
      <c r="E114" s="2" t="s">
        <v>699</v>
      </c>
      <c r="F114" s="2" t="s">
        <v>700</v>
      </c>
      <c r="G114" s="2" t="s">
        <v>701</v>
      </c>
      <c r="H114" s="2" t="s">
        <v>90</v>
      </c>
      <c r="J114" s="10" t="s">
        <v>21</v>
      </c>
    </row>
    <row r="115" spans="1:10" x14ac:dyDescent="0.25">
      <c r="A115" s="9" t="s">
        <v>1504</v>
      </c>
      <c r="B115" s="9" t="s">
        <v>712</v>
      </c>
      <c r="C115" s="2" t="s">
        <v>702</v>
      </c>
      <c r="D115" s="2" t="s">
        <v>668</v>
      </c>
      <c r="E115" s="2" t="s">
        <v>669</v>
      </c>
      <c r="F115" s="2" t="s">
        <v>703</v>
      </c>
      <c r="G115" s="2" t="s">
        <v>671</v>
      </c>
      <c r="H115" s="2" t="s">
        <v>90</v>
      </c>
      <c r="J115" s="10" t="s">
        <v>18</v>
      </c>
    </row>
    <row r="116" spans="1:10" x14ac:dyDescent="0.25">
      <c r="A116" s="9" t="s">
        <v>1504</v>
      </c>
      <c r="B116" s="9" t="s">
        <v>713</v>
      </c>
      <c r="C116" s="2" t="s">
        <v>704</v>
      </c>
      <c r="D116" s="2" t="s">
        <v>705</v>
      </c>
      <c r="E116" s="2" t="s">
        <v>706</v>
      </c>
      <c r="F116" s="2" t="s">
        <v>707</v>
      </c>
      <c r="G116" s="2" t="s">
        <v>708</v>
      </c>
      <c r="H116" s="2" t="s">
        <v>710</v>
      </c>
      <c r="J116" s="10" t="s">
        <v>18</v>
      </c>
    </row>
    <row r="117" spans="1:10" x14ac:dyDescent="0.25">
      <c r="A117" s="9" t="s">
        <v>1504</v>
      </c>
      <c r="B117" s="9" t="s">
        <v>991</v>
      </c>
      <c r="C117" s="2" t="s">
        <v>953</v>
      </c>
      <c r="D117" s="2" t="s">
        <v>553</v>
      </c>
      <c r="E117" s="2" t="s">
        <v>954</v>
      </c>
      <c r="F117" s="2" t="s">
        <v>555</v>
      </c>
      <c r="G117" s="2" t="s">
        <v>554</v>
      </c>
      <c r="H117" s="2" t="s">
        <v>540</v>
      </c>
      <c r="J117" s="10" t="s">
        <v>12</v>
      </c>
    </row>
    <row r="118" spans="1:10" x14ac:dyDescent="0.25">
      <c r="A118" s="9" t="s">
        <v>1504</v>
      </c>
      <c r="B118" s="9" t="s">
        <v>992</v>
      </c>
      <c r="C118" s="2" t="s">
        <v>955</v>
      </c>
      <c r="D118" s="2" t="s">
        <v>956</v>
      </c>
      <c r="E118" s="2" t="s">
        <v>957</v>
      </c>
      <c r="F118" s="2" t="s">
        <v>958</v>
      </c>
      <c r="G118" s="2" t="s">
        <v>959</v>
      </c>
      <c r="H118" s="2" t="s">
        <v>540</v>
      </c>
      <c r="J118" s="10" t="s">
        <v>12</v>
      </c>
    </row>
    <row r="119" spans="1:10" x14ac:dyDescent="0.25">
      <c r="A119" s="9" t="s">
        <v>1504</v>
      </c>
      <c r="B119" s="9" t="s">
        <v>993</v>
      </c>
      <c r="C119" s="2" t="s">
        <v>960</v>
      </c>
      <c r="D119" s="2" t="s">
        <v>961</v>
      </c>
      <c r="E119" s="2" t="s">
        <v>962</v>
      </c>
      <c r="F119" s="2" t="s">
        <v>963</v>
      </c>
      <c r="G119" s="2" t="s">
        <v>540</v>
      </c>
      <c r="J119" s="10" t="s">
        <v>14</v>
      </c>
    </row>
    <row r="120" spans="1:10" x14ac:dyDescent="0.25">
      <c r="A120" s="9" t="s">
        <v>1504</v>
      </c>
      <c r="B120" s="9" t="s">
        <v>994</v>
      </c>
      <c r="C120" s="2" t="s">
        <v>964</v>
      </c>
      <c r="D120" s="2" t="s">
        <v>965</v>
      </c>
      <c r="E120" s="2" t="s">
        <v>533</v>
      </c>
      <c r="F120" s="2" t="s">
        <v>659</v>
      </c>
      <c r="G120" s="2" t="s">
        <v>540</v>
      </c>
      <c r="J120" s="10" t="s">
        <v>21</v>
      </c>
    </row>
    <row r="121" spans="1:10" x14ac:dyDescent="0.25">
      <c r="A121" s="9" t="s">
        <v>1504</v>
      </c>
      <c r="B121" s="9" t="s">
        <v>995</v>
      </c>
      <c r="C121" s="2" t="s">
        <v>966</v>
      </c>
      <c r="D121" s="2" t="s">
        <v>562</v>
      </c>
      <c r="E121" s="2" t="s">
        <v>563</v>
      </c>
      <c r="F121" s="2" t="s">
        <v>967</v>
      </c>
      <c r="G121" s="2" t="s">
        <v>540</v>
      </c>
      <c r="J121" s="10" t="s">
        <v>14</v>
      </c>
    </row>
    <row r="122" spans="1:10" x14ac:dyDescent="0.25">
      <c r="A122" s="9" t="s">
        <v>1504</v>
      </c>
      <c r="B122" s="9" t="s">
        <v>996</v>
      </c>
      <c r="C122" s="2" t="s">
        <v>968</v>
      </c>
      <c r="D122" s="2" t="s">
        <v>969</v>
      </c>
      <c r="E122" s="2" t="s">
        <v>970</v>
      </c>
      <c r="F122" s="2" t="s">
        <v>971</v>
      </c>
      <c r="G122" s="2" t="s">
        <v>540</v>
      </c>
      <c r="J122" s="10" t="s">
        <v>18</v>
      </c>
    </row>
    <row r="123" spans="1:10" x14ac:dyDescent="0.25">
      <c r="A123" s="9" t="s">
        <v>1504</v>
      </c>
      <c r="B123" s="9" t="s">
        <v>997</v>
      </c>
      <c r="C123" s="2" t="s">
        <v>972</v>
      </c>
      <c r="D123" s="2" t="s">
        <v>973</v>
      </c>
      <c r="E123" s="2" t="s">
        <v>974</v>
      </c>
      <c r="F123" s="2" t="s">
        <v>975</v>
      </c>
      <c r="G123" s="2" t="s">
        <v>976</v>
      </c>
      <c r="H123" s="2" t="s">
        <v>540</v>
      </c>
      <c r="J123" s="10" t="s">
        <v>12</v>
      </c>
    </row>
    <row r="124" spans="1:10" x14ac:dyDescent="0.25">
      <c r="A124" s="9" t="s">
        <v>1504</v>
      </c>
      <c r="B124" s="9" t="s">
        <v>998</v>
      </c>
      <c r="C124" s="2" t="s">
        <v>977</v>
      </c>
      <c r="D124" s="2" t="s">
        <v>978</v>
      </c>
      <c r="E124" s="2" t="s">
        <v>979</v>
      </c>
      <c r="F124" s="2" t="s">
        <v>980</v>
      </c>
      <c r="G124" s="2" t="s">
        <v>981</v>
      </c>
      <c r="H124" s="2" t="s">
        <v>540</v>
      </c>
      <c r="J124" s="10" t="s">
        <v>14</v>
      </c>
    </row>
    <row r="125" spans="1:10" x14ac:dyDescent="0.25">
      <c r="A125" s="9" t="s">
        <v>1504</v>
      </c>
      <c r="B125" s="9" t="s">
        <v>999</v>
      </c>
      <c r="C125" s="2" t="s">
        <v>982</v>
      </c>
      <c r="D125" s="2" t="s">
        <v>983</v>
      </c>
      <c r="E125" s="2" t="s">
        <v>984</v>
      </c>
      <c r="F125" s="2" t="s">
        <v>985</v>
      </c>
      <c r="G125" s="2" t="s">
        <v>540</v>
      </c>
      <c r="J125" s="10" t="s">
        <v>18</v>
      </c>
    </row>
    <row r="126" spans="1:10" x14ac:dyDescent="0.25">
      <c r="A126" s="9" t="s">
        <v>1504</v>
      </c>
      <c r="B126" s="9" t="s">
        <v>1000</v>
      </c>
      <c r="C126" s="2" t="s">
        <v>986</v>
      </c>
      <c r="D126" s="2" t="s">
        <v>987</v>
      </c>
      <c r="E126" s="2" t="s">
        <v>988</v>
      </c>
      <c r="F126" s="2" t="s">
        <v>989</v>
      </c>
      <c r="G126" s="2" t="s">
        <v>990</v>
      </c>
      <c r="H126" s="2" t="s">
        <v>540</v>
      </c>
      <c r="J126" s="10" t="s">
        <v>21</v>
      </c>
    </row>
    <row r="127" spans="1:10" x14ac:dyDescent="0.25">
      <c r="A127" s="9" t="s">
        <v>255</v>
      </c>
      <c r="B127" s="20" t="s">
        <v>11</v>
      </c>
      <c r="C127" s="2" t="s">
        <v>722</v>
      </c>
      <c r="D127" s="2" t="s">
        <v>723</v>
      </c>
      <c r="E127" s="2" t="s">
        <v>724</v>
      </c>
      <c r="F127" s="2" t="s">
        <v>725</v>
      </c>
      <c r="G127" s="2" t="s">
        <v>726</v>
      </c>
      <c r="H127" s="2" t="s">
        <v>90</v>
      </c>
      <c r="J127" s="10" t="s">
        <v>21</v>
      </c>
    </row>
    <row r="128" spans="1:10" x14ac:dyDescent="0.25">
      <c r="A128" s="9" t="s">
        <v>255</v>
      </c>
      <c r="B128" s="9" t="s">
        <v>13</v>
      </c>
      <c r="C128" s="2" t="s">
        <v>727</v>
      </c>
      <c r="D128" s="2" t="s">
        <v>728</v>
      </c>
      <c r="E128" s="2" t="s">
        <v>729</v>
      </c>
      <c r="F128" s="2" t="s">
        <v>730</v>
      </c>
      <c r="G128" s="2" t="s">
        <v>731</v>
      </c>
      <c r="H128" s="2" t="s">
        <v>90</v>
      </c>
      <c r="J128" s="10" t="s">
        <v>18</v>
      </c>
    </row>
    <row r="129" spans="1:10" x14ac:dyDescent="0.25">
      <c r="A129" s="9" t="s">
        <v>255</v>
      </c>
      <c r="B129" s="9" t="s">
        <v>15</v>
      </c>
      <c r="C129" s="2" t="s">
        <v>732</v>
      </c>
      <c r="D129" s="2" t="s">
        <v>733</v>
      </c>
      <c r="E129" s="2" t="s">
        <v>734</v>
      </c>
      <c r="F129" s="2" t="s">
        <v>735</v>
      </c>
      <c r="G129" s="2" t="s">
        <v>736</v>
      </c>
      <c r="H129" s="2" t="s">
        <v>90</v>
      </c>
      <c r="J129" s="10" t="s">
        <v>14</v>
      </c>
    </row>
    <row r="130" spans="1:10" x14ac:dyDescent="0.25">
      <c r="A130" s="9" t="s">
        <v>255</v>
      </c>
      <c r="B130" s="20" t="s">
        <v>16</v>
      </c>
      <c r="C130" s="2" t="s">
        <v>737</v>
      </c>
      <c r="D130" s="2" t="s">
        <v>738</v>
      </c>
      <c r="E130" s="2" t="s">
        <v>739</v>
      </c>
      <c r="F130" s="2" t="s">
        <v>740</v>
      </c>
      <c r="G130" s="2" t="s">
        <v>741</v>
      </c>
      <c r="H130" s="2" t="s">
        <v>90</v>
      </c>
      <c r="J130" s="10" t="s">
        <v>12</v>
      </c>
    </row>
    <row r="131" spans="1:10" x14ac:dyDescent="0.25">
      <c r="A131" s="9" t="s">
        <v>255</v>
      </c>
      <c r="B131" s="20" t="s">
        <v>17</v>
      </c>
      <c r="C131" s="2" t="s">
        <v>742</v>
      </c>
      <c r="D131" s="2" t="s">
        <v>743</v>
      </c>
      <c r="E131" s="2" t="s">
        <v>744</v>
      </c>
      <c r="F131" s="2" t="s">
        <v>745</v>
      </c>
      <c r="G131" s="2" t="s">
        <v>746</v>
      </c>
      <c r="H131" s="2" t="s">
        <v>90</v>
      </c>
      <c r="J131" s="10" t="s">
        <v>21</v>
      </c>
    </row>
    <row r="132" spans="1:10" x14ac:dyDescent="0.25">
      <c r="A132" s="9" t="s">
        <v>255</v>
      </c>
      <c r="B132" s="9" t="s">
        <v>19</v>
      </c>
      <c r="C132" s="2" t="s">
        <v>747</v>
      </c>
      <c r="D132" s="2" t="s">
        <v>748</v>
      </c>
      <c r="E132" s="2" t="s">
        <v>749</v>
      </c>
      <c r="F132" s="2" t="s">
        <v>750</v>
      </c>
      <c r="G132" s="2" t="s">
        <v>751</v>
      </c>
      <c r="H132" s="2" t="s">
        <v>90</v>
      </c>
      <c r="J132" s="10" t="s">
        <v>12</v>
      </c>
    </row>
    <row r="133" spans="1:10" x14ac:dyDescent="0.25">
      <c r="A133" s="9" t="s">
        <v>255</v>
      </c>
      <c r="B133" s="9" t="s">
        <v>20</v>
      </c>
      <c r="C133" s="2" t="s">
        <v>752</v>
      </c>
      <c r="D133" s="2" t="s">
        <v>753</v>
      </c>
      <c r="E133" s="2" t="s">
        <v>754</v>
      </c>
      <c r="F133" s="2" t="s">
        <v>755</v>
      </c>
      <c r="G133" s="2" t="s">
        <v>756</v>
      </c>
      <c r="H133" s="2" t="s">
        <v>90</v>
      </c>
      <c r="J133" s="10" t="s">
        <v>18</v>
      </c>
    </row>
    <row r="134" spans="1:10" x14ac:dyDescent="0.25">
      <c r="A134" s="9" t="s">
        <v>255</v>
      </c>
      <c r="B134" s="9" t="s">
        <v>22</v>
      </c>
      <c r="C134" s="2" t="s">
        <v>757</v>
      </c>
      <c r="D134" s="2" t="s">
        <v>758</v>
      </c>
      <c r="E134" s="2" t="s">
        <v>759</v>
      </c>
      <c r="F134" s="2" t="s">
        <v>760</v>
      </c>
      <c r="G134" s="2" t="s">
        <v>761</v>
      </c>
      <c r="H134" s="2" t="s">
        <v>90</v>
      </c>
      <c r="J134" s="10" t="s">
        <v>14</v>
      </c>
    </row>
    <row r="135" spans="1:10" x14ac:dyDescent="0.25">
      <c r="A135" s="9" t="s">
        <v>257</v>
      </c>
      <c r="B135" s="20" t="s">
        <v>11</v>
      </c>
      <c r="C135" s="2" t="s">
        <v>783</v>
      </c>
      <c r="D135" s="2" t="s">
        <v>784</v>
      </c>
      <c r="E135" s="2" t="s">
        <v>785</v>
      </c>
      <c r="F135" s="2" t="s">
        <v>786</v>
      </c>
      <c r="G135" s="2" t="s">
        <v>787</v>
      </c>
      <c r="H135" s="2" t="s">
        <v>90</v>
      </c>
      <c r="J135" s="10" t="s">
        <v>21</v>
      </c>
    </row>
    <row r="136" spans="1:10" x14ac:dyDescent="0.25">
      <c r="A136" s="9" t="s">
        <v>257</v>
      </c>
      <c r="B136" s="9" t="s">
        <v>13</v>
      </c>
      <c r="C136" s="2" t="s">
        <v>788</v>
      </c>
      <c r="D136" s="2" t="s">
        <v>789</v>
      </c>
      <c r="E136" s="2" t="s">
        <v>790</v>
      </c>
      <c r="F136" s="2" t="s">
        <v>791</v>
      </c>
      <c r="G136" s="2" t="s">
        <v>792</v>
      </c>
      <c r="H136" s="2" t="s">
        <v>90</v>
      </c>
      <c r="J136" s="10" t="s">
        <v>12</v>
      </c>
    </row>
    <row r="137" spans="1:10" x14ac:dyDescent="0.25">
      <c r="A137" s="9" t="s">
        <v>257</v>
      </c>
      <c r="B137" s="9" t="s">
        <v>15</v>
      </c>
      <c r="C137" s="2" t="s">
        <v>793</v>
      </c>
      <c r="D137" s="2" t="s">
        <v>794</v>
      </c>
      <c r="E137" s="2" t="s">
        <v>795</v>
      </c>
      <c r="F137" s="2" t="s">
        <v>796</v>
      </c>
      <c r="G137" s="2" t="s">
        <v>797</v>
      </c>
      <c r="H137" s="2" t="s">
        <v>90</v>
      </c>
      <c r="J137" s="10" t="s">
        <v>12</v>
      </c>
    </row>
    <row r="138" spans="1:10" x14ac:dyDescent="0.25">
      <c r="A138" s="9" t="s">
        <v>257</v>
      </c>
      <c r="B138" s="9" t="s">
        <v>16</v>
      </c>
      <c r="C138" s="2" t="s">
        <v>798</v>
      </c>
      <c r="D138" s="2" t="s">
        <v>799</v>
      </c>
      <c r="E138" s="2" t="s">
        <v>800</v>
      </c>
      <c r="F138" s="2" t="s">
        <v>801</v>
      </c>
      <c r="G138" s="2" t="s">
        <v>802</v>
      </c>
      <c r="H138" s="2" t="s">
        <v>90</v>
      </c>
      <c r="J138" s="10" t="s">
        <v>14</v>
      </c>
    </row>
    <row r="139" spans="1:10" x14ac:dyDescent="0.25">
      <c r="A139" s="9" t="s">
        <v>257</v>
      </c>
      <c r="B139" s="9" t="s">
        <v>17</v>
      </c>
      <c r="C139" s="2" t="s">
        <v>803</v>
      </c>
      <c r="D139" s="2" t="s">
        <v>804</v>
      </c>
      <c r="E139" s="2" t="s">
        <v>805</v>
      </c>
      <c r="F139" s="2" t="s">
        <v>806</v>
      </c>
      <c r="G139" s="2" t="s">
        <v>807</v>
      </c>
      <c r="H139" s="2" t="s">
        <v>90</v>
      </c>
      <c r="J139" s="10" t="s">
        <v>14</v>
      </c>
    </row>
    <row r="140" spans="1:10" x14ac:dyDescent="0.25">
      <c r="A140" s="9" t="s">
        <v>257</v>
      </c>
      <c r="B140" s="20" t="s">
        <v>19</v>
      </c>
      <c r="C140" s="2" t="s">
        <v>808</v>
      </c>
      <c r="D140" s="2" t="s">
        <v>809</v>
      </c>
      <c r="E140" s="2" t="s">
        <v>810</v>
      </c>
      <c r="F140" s="2" t="s">
        <v>811</v>
      </c>
      <c r="G140" s="2" t="s">
        <v>812</v>
      </c>
      <c r="H140" s="2" t="s">
        <v>90</v>
      </c>
      <c r="J140" s="10" t="s">
        <v>18</v>
      </c>
    </row>
    <row r="141" spans="1:10" x14ac:dyDescent="0.25">
      <c r="A141" s="9" t="s">
        <v>257</v>
      </c>
      <c r="B141" s="20" t="s">
        <v>20</v>
      </c>
      <c r="C141" s="2" t="s">
        <v>813</v>
      </c>
      <c r="D141" s="2" t="s">
        <v>814</v>
      </c>
      <c r="E141" s="2" t="s">
        <v>815</v>
      </c>
      <c r="F141" s="2" t="s">
        <v>816</v>
      </c>
      <c r="G141" s="2" t="s">
        <v>817</v>
      </c>
      <c r="H141" s="2" t="s">
        <v>90</v>
      </c>
      <c r="J141" s="10" t="s">
        <v>18</v>
      </c>
    </row>
    <row r="142" spans="1:10" x14ac:dyDescent="0.25">
      <c r="A142" s="9" t="s">
        <v>257</v>
      </c>
      <c r="B142" s="9" t="s">
        <v>22</v>
      </c>
      <c r="C142" s="2" t="s">
        <v>818</v>
      </c>
      <c r="D142" s="2" t="s">
        <v>819</v>
      </c>
      <c r="E142" s="2" t="s">
        <v>820</v>
      </c>
      <c r="F142" s="2" t="s">
        <v>821</v>
      </c>
      <c r="G142" s="2" t="s">
        <v>822</v>
      </c>
      <c r="H142" s="2" t="s">
        <v>90</v>
      </c>
      <c r="J142" s="10" t="s">
        <v>12</v>
      </c>
    </row>
    <row r="143" spans="1:10" x14ac:dyDescent="0.25">
      <c r="A143" s="9" t="s">
        <v>257</v>
      </c>
      <c r="B143" s="9" t="s">
        <v>24</v>
      </c>
      <c r="C143" s="2" t="s">
        <v>823</v>
      </c>
      <c r="D143" s="2" t="s">
        <v>824</v>
      </c>
      <c r="E143" s="2" t="s">
        <v>825</v>
      </c>
      <c r="F143" s="2" t="s">
        <v>826</v>
      </c>
      <c r="G143" s="2" t="s">
        <v>827</v>
      </c>
      <c r="H143" s="2" t="s">
        <v>90</v>
      </c>
      <c r="J143" s="10" t="s">
        <v>14</v>
      </c>
    </row>
    <row r="144" spans="1:10" x14ac:dyDescent="0.25">
      <c r="A144" s="9" t="s">
        <v>257</v>
      </c>
      <c r="B144" s="9" t="s">
        <v>25</v>
      </c>
      <c r="C144" s="2" t="s">
        <v>828</v>
      </c>
      <c r="D144" s="2" t="s">
        <v>829</v>
      </c>
      <c r="E144" s="2" t="s">
        <v>830</v>
      </c>
      <c r="F144" s="2" t="s">
        <v>831</v>
      </c>
      <c r="G144" s="2" t="s">
        <v>832</v>
      </c>
      <c r="H144" s="2" t="s">
        <v>376</v>
      </c>
      <c r="J144" s="10" t="s">
        <v>23</v>
      </c>
    </row>
    <row r="145" spans="1:10" x14ac:dyDescent="0.25">
      <c r="A145" s="9" t="s">
        <v>257</v>
      </c>
      <c r="B145" s="20" t="s">
        <v>26</v>
      </c>
      <c r="C145" s="2" t="s">
        <v>833</v>
      </c>
      <c r="D145" s="2" t="s">
        <v>834</v>
      </c>
      <c r="E145" s="2" t="s">
        <v>835</v>
      </c>
      <c r="F145" s="2" t="s">
        <v>836</v>
      </c>
      <c r="G145" s="2" t="s">
        <v>837</v>
      </c>
      <c r="H145" s="2" t="s">
        <v>90</v>
      </c>
      <c r="J145" s="10" t="s">
        <v>21</v>
      </c>
    </row>
    <row r="146" spans="1:10" x14ac:dyDescent="0.25">
      <c r="A146" s="9" t="s">
        <v>257</v>
      </c>
      <c r="B146" s="9" t="s">
        <v>27</v>
      </c>
      <c r="C146" s="2" t="s">
        <v>838</v>
      </c>
      <c r="D146" s="2" t="s">
        <v>839</v>
      </c>
      <c r="E146" s="2" t="s">
        <v>840</v>
      </c>
      <c r="F146" s="2" t="s">
        <v>841</v>
      </c>
      <c r="G146" s="2" t="s">
        <v>842</v>
      </c>
      <c r="H146" s="2" t="s">
        <v>376</v>
      </c>
      <c r="J146" s="10" t="s">
        <v>23</v>
      </c>
    </row>
    <row r="147" spans="1:10" x14ac:dyDescent="0.25">
      <c r="A147" s="9" t="s">
        <v>257</v>
      </c>
      <c r="B147" s="9" t="s">
        <v>28</v>
      </c>
      <c r="C147" s="2" t="s">
        <v>843</v>
      </c>
      <c r="D147" s="2" t="s">
        <v>844</v>
      </c>
      <c r="E147" s="2" t="s">
        <v>845</v>
      </c>
      <c r="F147" s="2" t="s">
        <v>846</v>
      </c>
      <c r="G147" s="2" t="s">
        <v>847</v>
      </c>
      <c r="H147" s="2" t="s">
        <v>90</v>
      </c>
      <c r="J147" s="10" t="s">
        <v>21</v>
      </c>
    </row>
    <row r="148" spans="1:10" x14ac:dyDescent="0.25">
      <c r="A148" s="9" t="s">
        <v>257</v>
      </c>
      <c r="B148" s="9" t="s">
        <v>29</v>
      </c>
      <c r="C148" s="2" t="s">
        <v>848</v>
      </c>
      <c r="D148" s="2" t="s">
        <v>849</v>
      </c>
      <c r="E148" s="2" t="s">
        <v>850</v>
      </c>
      <c r="F148" s="2" t="s">
        <v>851</v>
      </c>
      <c r="G148" s="2" t="s">
        <v>852</v>
      </c>
      <c r="H148" s="2" t="s">
        <v>90</v>
      </c>
      <c r="J148" s="10" t="s">
        <v>21</v>
      </c>
    </row>
    <row r="149" spans="1:10" x14ac:dyDescent="0.25">
      <c r="A149" s="9" t="s">
        <v>257</v>
      </c>
      <c r="B149" s="9" t="s">
        <v>30</v>
      </c>
      <c r="C149" s="2" t="s">
        <v>853</v>
      </c>
      <c r="D149" s="2" t="s">
        <v>854</v>
      </c>
      <c r="E149" s="2" t="s">
        <v>855</v>
      </c>
      <c r="F149" s="2" t="s">
        <v>856</v>
      </c>
      <c r="G149" s="2" t="s">
        <v>857</v>
      </c>
      <c r="H149" s="2" t="s">
        <v>90</v>
      </c>
      <c r="J149" s="10" t="s">
        <v>21</v>
      </c>
    </row>
    <row r="150" spans="1:10" x14ac:dyDescent="0.25">
      <c r="A150" s="9" t="s">
        <v>257</v>
      </c>
      <c r="B150" s="9" t="s">
        <v>31</v>
      </c>
      <c r="C150" s="2" t="s">
        <v>858</v>
      </c>
      <c r="D150" s="2" t="s">
        <v>859</v>
      </c>
      <c r="E150" s="2" t="s">
        <v>860</v>
      </c>
      <c r="F150" s="2" t="s">
        <v>861</v>
      </c>
      <c r="G150" s="2" t="s">
        <v>862</v>
      </c>
      <c r="H150" s="2" t="s">
        <v>90</v>
      </c>
      <c r="J150" s="10" t="s">
        <v>18</v>
      </c>
    </row>
    <row r="151" spans="1:10" x14ac:dyDescent="0.25">
      <c r="A151" s="9" t="s">
        <v>257</v>
      </c>
      <c r="B151" s="9" t="s">
        <v>32</v>
      </c>
      <c r="C151" s="2" t="s">
        <v>863</v>
      </c>
      <c r="D151" s="2" t="s">
        <v>864</v>
      </c>
      <c r="E151" s="2" t="s">
        <v>865</v>
      </c>
      <c r="F151" s="2" t="s">
        <v>866</v>
      </c>
      <c r="G151" s="2" t="s">
        <v>867</v>
      </c>
      <c r="H151" s="2" t="s">
        <v>90</v>
      </c>
      <c r="J151" s="10" t="s">
        <v>18</v>
      </c>
    </row>
    <row r="152" spans="1:10" x14ac:dyDescent="0.25">
      <c r="A152" s="9" t="s">
        <v>257</v>
      </c>
      <c r="B152" s="9" t="s">
        <v>33</v>
      </c>
      <c r="C152" s="2" t="s">
        <v>868</v>
      </c>
      <c r="D152" s="2" t="s">
        <v>869</v>
      </c>
      <c r="E152" s="2" t="s">
        <v>870</v>
      </c>
      <c r="F152" s="2" t="s">
        <v>871</v>
      </c>
      <c r="G152" s="2" t="s">
        <v>872</v>
      </c>
      <c r="H152" s="2" t="s">
        <v>90</v>
      </c>
      <c r="J152" s="10" t="s">
        <v>14</v>
      </c>
    </row>
    <row r="153" spans="1:10" x14ac:dyDescent="0.25">
      <c r="A153" s="9" t="s">
        <v>257</v>
      </c>
      <c r="B153" s="9" t="s">
        <v>34</v>
      </c>
      <c r="C153" s="2" t="s">
        <v>873</v>
      </c>
      <c r="D153" s="2" t="s">
        <v>874</v>
      </c>
      <c r="E153" s="2" t="s">
        <v>875</v>
      </c>
      <c r="F153" s="2" t="s">
        <v>876</v>
      </c>
      <c r="G153" s="2" t="s">
        <v>877</v>
      </c>
      <c r="H153" s="2" t="s">
        <v>90</v>
      </c>
      <c r="J153" s="10" t="s">
        <v>12</v>
      </c>
    </row>
    <row r="154" spans="1:10" x14ac:dyDescent="0.25">
      <c r="A154" s="9" t="s">
        <v>257</v>
      </c>
      <c r="B154" s="9" t="s">
        <v>35</v>
      </c>
      <c r="C154" s="2" t="s">
        <v>878</v>
      </c>
      <c r="D154" s="2" t="s">
        <v>879</v>
      </c>
      <c r="E154" s="2" t="s">
        <v>880</v>
      </c>
      <c r="F154" s="2" t="s">
        <v>881</v>
      </c>
      <c r="G154" s="2" t="s">
        <v>882</v>
      </c>
      <c r="H154" s="2" t="s">
        <v>90</v>
      </c>
      <c r="J154" s="10" t="s">
        <v>14</v>
      </c>
    </row>
    <row r="155" spans="1:10" x14ac:dyDescent="0.25">
      <c r="A155" s="9" t="s">
        <v>261</v>
      </c>
      <c r="B155" s="9" t="s">
        <v>11</v>
      </c>
      <c r="C155" s="2" t="s">
        <v>893</v>
      </c>
      <c r="D155" s="2" t="s">
        <v>894</v>
      </c>
      <c r="E155" s="2" t="s">
        <v>895</v>
      </c>
      <c r="F155" s="2" t="s">
        <v>896</v>
      </c>
      <c r="G155" s="2" t="s">
        <v>897</v>
      </c>
      <c r="H155" s="2" t="s">
        <v>90</v>
      </c>
      <c r="J155" s="10" t="s">
        <v>23</v>
      </c>
    </row>
    <row r="156" spans="1:10" x14ac:dyDescent="0.25">
      <c r="A156" s="9" t="s">
        <v>261</v>
      </c>
      <c r="B156" s="9" t="s">
        <v>13</v>
      </c>
      <c r="C156" s="2" t="s">
        <v>898</v>
      </c>
      <c r="D156" s="2" t="s">
        <v>899</v>
      </c>
      <c r="E156" s="2" t="s">
        <v>900</v>
      </c>
      <c r="F156" s="2" t="s">
        <v>901</v>
      </c>
      <c r="G156" s="2" t="s">
        <v>902</v>
      </c>
      <c r="H156" s="2" t="s">
        <v>90</v>
      </c>
      <c r="J156" s="10" t="s">
        <v>21</v>
      </c>
    </row>
    <row r="157" spans="1:10" x14ac:dyDescent="0.25">
      <c r="A157" s="9" t="s">
        <v>261</v>
      </c>
      <c r="B157" s="9" t="s">
        <v>15</v>
      </c>
      <c r="C157" s="2" t="s">
        <v>903</v>
      </c>
      <c r="D157" s="2" t="s">
        <v>904</v>
      </c>
      <c r="E157" s="2" t="s">
        <v>905</v>
      </c>
      <c r="F157" s="2" t="s">
        <v>906</v>
      </c>
      <c r="G157" s="2" t="s">
        <v>907</v>
      </c>
      <c r="H157" s="2" t="s">
        <v>90</v>
      </c>
      <c r="J157" s="10" t="s">
        <v>21</v>
      </c>
    </row>
    <row r="158" spans="1:10" x14ac:dyDescent="0.25">
      <c r="A158" s="9" t="s">
        <v>261</v>
      </c>
      <c r="B158" s="9" t="s">
        <v>16</v>
      </c>
      <c r="C158" s="2" t="s">
        <v>908</v>
      </c>
      <c r="D158" s="2" t="s">
        <v>909</v>
      </c>
      <c r="E158" s="2" t="s">
        <v>910</v>
      </c>
      <c r="F158" s="2" t="s">
        <v>911</v>
      </c>
      <c r="G158" s="2" t="s">
        <v>912</v>
      </c>
      <c r="H158" s="2" t="s">
        <v>90</v>
      </c>
      <c r="J158" s="10" t="s">
        <v>12</v>
      </c>
    </row>
    <row r="159" spans="1:10" x14ac:dyDescent="0.25">
      <c r="A159" s="9" t="s">
        <v>261</v>
      </c>
      <c r="B159" s="9" t="s">
        <v>17</v>
      </c>
      <c r="C159" s="2" t="s">
        <v>913</v>
      </c>
      <c r="D159" s="2" t="s">
        <v>914</v>
      </c>
      <c r="E159" s="2" t="s">
        <v>915</v>
      </c>
      <c r="F159" s="2" t="s">
        <v>916</v>
      </c>
      <c r="G159" s="2" t="s">
        <v>917</v>
      </c>
      <c r="H159" s="2" t="s">
        <v>90</v>
      </c>
      <c r="J159" s="10" t="s">
        <v>18</v>
      </c>
    </row>
    <row r="160" spans="1:10" x14ac:dyDescent="0.25">
      <c r="A160" s="9" t="s">
        <v>261</v>
      </c>
      <c r="B160" s="9" t="s">
        <v>19</v>
      </c>
      <c r="C160" s="2" t="s">
        <v>918</v>
      </c>
      <c r="D160" s="2" t="s">
        <v>919</v>
      </c>
      <c r="E160" s="2" t="s">
        <v>920</v>
      </c>
      <c r="F160" s="2" t="s">
        <v>921</v>
      </c>
      <c r="G160" s="2" t="s">
        <v>922</v>
      </c>
      <c r="H160" s="2" t="s">
        <v>90</v>
      </c>
      <c r="J160" s="10" t="s">
        <v>12</v>
      </c>
    </row>
    <row r="161" spans="1:10" x14ac:dyDescent="0.25">
      <c r="A161" s="9" t="s">
        <v>261</v>
      </c>
      <c r="B161" s="9" t="s">
        <v>20</v>
      </c>
      <c r="C161" s="2" t="s">
        <v>923</v>
      </c>
      <c r="D161" s="2" t="s">
        <v>924</v>
      </c>
      <c r="E161" s="2" t="s">
        <v>925</v>
      </c>
      <c r="F161" s="2" t="s">
        <v>926</v>
      </c>
      <c r="G161" s="2" t="s">
        <v>927</v>
      </c>
      <c r="H161" s="2" t="s">
        <v>90</v>
      </c>
      <c r="J161" s="10" t="s">
        <v>18</v>
      </c>
    </row>
    <row r="162" spans="1:10" x14ac:dyDescent="0.25">
      <c r="A162" s="9" t="s">
        <v>261</v>
      </c>
      <c r="B162" s="9" t="s">
        <v>22</v>
      </c>
      <c r="C162" s="2" t="s">
        <v>928</v>
      </c>
      <c r="D162" s="2" t="s">
        <v>929</v>
      </c>
      <c r="E162" s="2" t="s">
        <v>930</v>
      </c>
      <c r="F162" s="2" t="s">
        <v>931</v>
      </c>
      <c r="G162" s="2" t="s">
        <v>932</v>
      </c>
      <c r="H162" s="2" t="s">
        <v>90</v>
      </c>
      <c r="J162" s="10" t="s">
        <v>14</v>
      </c>
    </row>
    <row r="163" spans="1:10" x14ac:dyDescent="0.25">
      <c r="A163" s="9" t="s">
        <v>261</v>
      </c>
      <c r="B163" s="9" t="s">
        <v>24</v>
      </c>
      <c r="C163" s="2" t="s">
        <v>933</v>
      </c>
      <c r="D163" s="2" t="s">
        <v>934</v>
      </c>
      <c r="E163" s="2" t="s">
        <v>935</v>
      </c>
      <c r="F163" s="2" t="s">
        <v>936</v>
      </c>
      <c r="G163" s="2" t="s">
        <v>937</v>
      </c>
      <c r="H163" s="2" t="s">
        <v>91</v>
      </c>
      <c r="J163" s="10" t="s">
        <v>23</v>
      </c>
    </row>
    <row r="164" spans="1:10" x14ac:dyDescent="0.25">
      <c r="A164" s="9" t="s">
        <v>261</v>
      </c>
      <c r="B164" s="9" t="s">
        <v>25</v>
      </c>
      <c r="C164" s="2" t="s">
        <v>938</v>
      </c>
      <c r="D164" s="2" t="s">
        <v>939</v>
      </c>
      <c r="E164" s="2" t="s">
        <v>940</v>
      </c>
      <c r="F164" s="2" t="s">
        <v>941</v>
      </c>
      <c r="G164" s="2" t="s">
        <v>942</v>
      </c>
      <c r="H164" s="2" t="s">
        <v>90</v>
      </c>
      <c r="J164" s="10" t="s">
        <v>21</v>
      </c>
    </row>
    <row r="165" spans="1:10" x14ac:dyDescent="0.25">
      <c r="A165" s="9" t="s">
        <v>259</v>
      </c>
      <c r="B165" s="9" t="s">
        <v>11</v>
      </c>
      <c r="C165" s="2" t="s">
        <v>1024</v>
      </c>
      <c r="D165" s="2" t="s">
        <v>1025</v>
      </c>
      <c r="E165" s="2" t="s">
        <v>1026</v>
      </c>
      <c r="F165" s="2" t="s">
        <v>1027</v>
      </c>
      <c r="G165" s="2" t="s">
        <v>1028</v>
      </c>
      <c r="H165" s="2" t="s">
        <v>540</v>
      </c>
      <c r="J165" s="10" t="s">
        <v>12</v>
      </c>
    </row>
    <row r="166" spans="1:10" x14ac:dyDescent="0.25">
      <c r="A166" s="9" t="s">
        <v>259</v>
      </c>
      <c r="B166" s="9" t="s">
        <v>13</v>
      </c>
      <c r="C166" s="2" t="s">
        <v>1029</v>
      </c>
      <c r="D166" s="2" t="s">
        <v>1030</v>
      </c>
      <c r="E166" s="2" t="s">
        <v>1031</v>
      </c>
      <c r="F166" s="2" t="s">
        <v>1032</v>
      </c>
      <c r="G166" s="2" t="s">
        <v>540</v>
      </c>
      <c r="J166" s="10" t="s">
        <v>21</v>
      </c>
    </row>
    <row r="167" spans="1:10" x14ac:dyDescent="0.25">
      <c r="A167" s="9" t="s">
        <v>259</v>
      </c>
      <c r="B167" s="9" t="s">
        <v>15</v>
      </c>
      <c r="C167" s="2" t="s">
        <v>1033</v>
      </c>
      <c r="D167" s="2" t="s">
        <v>1034</v>
      </c>
      <c r="E167" s="2" t="s">
        <v>1035</v>
      </c>
      <c r="F167" s="2" t="s">
        <v>1036</v>
      </c>
      <c r="G167" s="2" t="s">
        <v>1037</v>
      </c>
      <c r="H167" s="2" t="s">
        <v>540</v>
      </c>
      <c r="J167" s="10" t="s">
        <v>18</v>
      </c>
    </row>
    <row r="168" spans="1:10" x14ac:dyDescent="0.25">
      <c r="A168" s="9" t="s">
        <v>259</v>
      </c>
      <c r="B168" s="9" t="s">
        <v>16</v>
      </c>
      <c r="C168" s="2" t="s">
        <v>1038</v>
      </c>
      <c r="D168" s="2" t="s">
        <v>1039</v>
      </c>
      <c r="E168" s="2" t="s">
        <v>1040</v>
      </c>
      <c r="F168" s="2" t="s">
        <v>1041</v>
      </c>
      <c r="G168" s="2" t="s">
        <v>540</v>
      </c>
      <c r="J168" s="10" t="s">
        <v>18</v>
      </c>
    </row>
    <row r="169" spans="1:10" x14ac:dyDescent="0.25">
      <c r="A169" s="9" t="s">
        <v>259</v>
      </c>
      <c r="B169" s="9" t="s">
        <v>17</v>
      </c>
      <c r="C169" s="2" t="s">
        <v>1042</v>
      </c>
      <c r="D169" s="2" t="s">
        <v>1043</v>
      </c>
      <c r="E169" s="2" t="s">
        <v>1044</v>
      </c>
      <c r="F169" s="2" t="s">
        <v>1045</v>
      </c>
      <c r="G169" s="2" t="s">
        <v>1046</v>
      </c>
      <c r="H169" s="2" t="s">
        <v>1047</v>
      </c>
      <c r="J169" s="10" t="s">
        <v>21</v>
      </c>
    </row>
    <row r="170" spans="1:10" x14ac:dyDescent="0.25">
      <c r="A170" s="9" t="s">
        <v>259</v>
      </c>
      <c r="B170" s="9" t="s">
        <v>19</v>
      </c>
      <c r="C170" s="2" t="s">
        <v>1048</v>
      </c>
      <c r="D170" s="2" t="s">
        <v>1049</v>
      </c>
      <c r="E170" s="2" t="s">
        <v>1050</v>
      </c>
      <c r="F170" s="2" t="s">
        <v>1051</v>
      </c>
      <c r="G170" s="2" t="s">
        <v>540</v>
      </c>
      <c r="J170" s="10" t="s">
        <v>18</v>
      </c>
    </row>
    <row r="171" spans="1:10" x14ac:dyDescent="0.25">
      <c r="A171" s="9" t="s">
        <v>259</v>
      </c>
      <c r="B171" s="9" t="s">
        <v>20</v>
      </c>
      <c r="C171" s="2" t="s">
        <v>1052</v>
      </c>
      <c r="D171" s="2" t="s">
        <v>1053</v>
      </c>
      <c r="E171" s="2" t="s">
        <v>1054</v>
      </c>
      <c r="F171" s="2" t="s">
        <v>1055</v>
      </c>
      <c r="G171" s="2" t="s">
        <v>1056</v>
      </c>
      <c r="H171" s="2" t="s">
        <v>540</v>
      </c>
      <c r="J171" s="10" t="s">
        <v>14</v>
      </c>
    </row>
    <row r="172" spans="1:10" x14ac:dyDescent="0.25">
      <c r="A172" s="9" t="s">
        <v>259</v>
      </c>
      <c r="B172" s="9" t="s">
        <v>22</v>
      </c>
      <c r="C172" s="2" t="s">
        <v>1057</v>
      </c>
      <c r="D172" s="2" t="s">
        <v>1058</v>
      </c>
      <c r="E172" s="2" t="s">
        <v>1059</v>
      </c>
      <c r="F172" s="2" t="s">
        <v>1060</v>
      </c>
      <c r="G172" s="2" t="s">
        <v>1061</v>
      </c>
      <c r="H172" s="2" t="s">
        <v>1062</v>
      </c>
      <c r="J172" s="10" t="s">
        <v>14</v>
      </c>
    </row>
    <row r="173" spans="1:10" x14ac:dyDescent="0.25">
      <c r="A173" s="9" t="s">
        <v>259</v>
      </c>
      <c r="B173" s="9" t="s">
        <v>24</v>
      </c>
      <c r="C173" s="2" t="s">
        <v>1063</v>
      </c>
      <c r="D173" s="2" t="s">
        <v>1064</v>
      </c>
      <c r="E173" s="2" t="s">
        <v>1065</v>
      </c>
      <c r="F173" s="2" t="s">
        <v>1066</v>
      </c>
      <c r="G173" s="2" t="s">
        <v>1067</v>
      </c>
      <c r="H173" s="2" t="s">
        <v>540</v>
      </c>
      <c r="J173" s="10" t="s">
        <v>14</v>
      </c>
    </row>
    <row r="174" spans="1:10" x14ac:dyDescent="0.25">
      <c r="A174" s="9" t="s">
        <v>259</v>
      </c>
      <c r="B174" s="9" t="s">
        <v>25</v>
      </c>
      <c r="C174" s="2" t="s">
        <v>1068</v>
      </c>
      <c r="D174" s="2" t="s">
        <v>1069</v>
      </c>
      <c r="E174" s="2" t="s">
        <v>1070</v>
      </c>
      <c r="F174" s="2" t="s">
        <v>1071</v>
      </c>
      <c r="G174" s="2" t="s">
        <v>1072</v>
      </c>
      <c r="H174" s="2" t="s">
        <v>540</v>
      </c>
      <c r="J174" s="10" t="s">
        <v>21</v>
      </c>
    </row>
    <row r="175" spans="1:10" x14ac:dyDescent="0.25">
      <c r="A175" s="9" t="s">
        <v>259</v>
      </c>
      <c r="B175" s="9" t="s">
        <v>26</v>
      </c>
      <c r="C175" s="2" t="s">
        <v>1073</v>
      </c>
      <c r="D175" s="2" t="s">
        <v>432</v>
      </c>
      <c r="E175" s="2" t="s">
        <v>433</v>
      </c>
      <c r="J175" s="10" t="s">
        <v>21</v>
      </c>
    </row>
    <row r="176" spans="1:10" x14ac:dyDescent="0.25">
      <c r="A176" s="9" t="s">
        <v>259</v>
      </c>
      <c r="B176" s="20" t="s">
        <v>27</v>
      </c>
      <c r="C176" s="2" t="s">
        <v>1074</v>
      </c>
      <c r="D176" s="2" t="s">
        <v>1075</v>
      </c>
      <c r="E176" s="2" t="s">
        <v>1076</v>
      </c>
      <c r="F176" s="2" t="s">
        <v>1077</v>
      </c>
      <c r="G176" s="2" t="s">
        <v>540</v>
      </c>
      <c r="J176" s="10" t="s">
        <v>21</v>
      </c>
    </row>
    <row r="177" spans="1:10" x14ac:dyDescent="0.25">
      <c r="A177" s="9" t="s">
        <v>259</v>
      </c>
      <c r="B177" s="9" t="s">
        <v>28</v>
      </c>
      <c r="C177" s="2" t="s">
        <v>1078</v>
      </c>
      <c r="D177" s="2" t="s">
        <v>1079</v>
      </c>
      <c r="E177" s="2" t="s">
        <v>1080</v>
      </c>
      <c r="F177" s="2" t="s">
        <v>1081</v>
      </c>
      <c r="G177" s="2" t="s">
        <v>1082</v>
      </c>
      <c r="H177" s="2" t="s">
        <v>540</v>
      </c>
      <c r="J177" s="10" t="s">
        <v>18</v>
      </c>
    </row>
    <row r="178" spans="1:10" x14ac:dyDescent="0.25">
      <c r="A178" s="9" t="s">
        <v>259</v>
      </c>
      <c r="B178" s="9" t="s">
        <v>29</v>
      </c>
      <c r="C178" s="2" t="s">
        <v>1083</v>
      </c>
      <c r="D178" s="2" t="s">
        <v>1084</v>
      </c>
      <c r="E178" s="2" t="s">
        <v>1085</v>
      </c>
      <c r="F178" s="2" t="s">
        <v>1086</v>
      </c>
      <c r="G178" s="2" t="s">
        <v>617</v>
      </c>
      <c r="H178" s="2" t="s">
        <v>540</v>
      </c>
      <c r="J178" s="10" t="s">
        <v>12</v>
      </c>
    </row>
    <row r="179" spans="1:10" x14ac:dyDescent="0.25">
      <c r="A179" s="9" t="s">
        <v>259</v>
      </c>
      <c r="B179" s="9" t="s">
        <v>30</v>
      </c>
      <c r="C179" s="2" t="s">
        <v>1087</v>
      </c>
      <c r="D179" s="2" t="s">
        <v>1088</v>
      </c>
      <c r="E179" s="2" t="s">
        <v>1089</v>
      </c>
      <c r="F179" s="2" t="s">
        <v>1090</v>
      </c>
      <c r="G179" s="2" t="s">
        <v>1091</v>
      </c>
      <c r="H179" s="2" t="s">
        <v>540</v>
      </c>
      <c r="J179" s="10" t="s">
        <v>18</v>
      </c>
    </row>
    <row r="180" spans="1:10" x14ac:dyDescent="0.25">
      <c r="A180" s="9" t="s">
        <v>259</v>
      </c>
      <c r="B180" s="9" t="s">
        <v>31</v>
      </c>
      <c r="C180" s="2" t="s">
        <v>1083</v>
      </c>
      <c r="D180" s="2" t="s">
        <v>1086</v>
      </c>
      <c r="E180" s="2" t="s">
        <v>1084</v>
      </c>
      <c r="F180" s="2" t="s">
        <v>1085</v>
      </c>
      <c r="G180" s="2" t="s">
        <v>617</v>
      </c>
      <c r="H180" s="2" t="s">
        <v>540</v>
      </c>
      <c r="J180" s="10" t="s">
        <v>12</v>
      </c>
    </row>
    <row r="181" spans="1:10" x14ac:dyDescent="0.25">
      <c r="A181" s="9" t="s">
        <v>259</v>
      </c>
      <c r="B181" s="9" t="s">
        <v>32</v>
      </c>
      <c r="C181" s="2" t="s">
        <v>1092</v>
      </c>
      <c r="D181" s="2" t="s">
        <v>1093</v>
      </c>
      <c r="E181" s="2" t="s">
        <v>570</v>
      </c>
      <c r="F181" s="2" t="s">
        <v>567</v>
      </c>
      <c r="G181" s="2" t="s">
        <v>1094</v>
      </c>
      <c r="H181" s="2" t="s">
        <v>540</v>
      </c>
      <c r="J181" s="10" t="s">
        <v>14</v>
      </c>
    </row>
    <row r="182" spans="1:10" x14ac:dyDescent="0.25">
      <c r="A182" s="9" t="s">
        <v>259</v>
      </c>
      <c r="B182" s="9" t="s">
        <v>33</v>
      </c>
      <c r="C182" s="2" t="s">
        <v>1095</v>
      </c>
      <c r="D182" s="2" t="s">
        <v>1096</v>
      </c>
      <c r="E182" s="2" t="s">
        <v>1097</v>
      </c>
      <c r="F182" s="2" t="s">
        <v>1098</v>
      </c>
      <c r="G182" s="2" t="s">
        <v>1099</v>
      </c>
      <c r="H182" s="2" t="s">
        <v>540</v>
      </c>
      <c r="J182" s="10" t="s">
        <v>12</v>
      </c>
    </row>
    <row r="183" spans="1:10" x14ac:dyDescent="0.25">
      <c r="A183" s="9" t="s">
        <v>259</v>
      </c>
      <c r="B183" s="20" t="s">
        <v>34</v>
      </c>
      <c r="C183" s="2" t="s">
        <v>1100</v>
      </c>
      <c r="D183" s="2" t="s">
        <v>963</v>
      </c>
      <c r="E183" s="2" t="s">
        <v>1101</v>
      </c>
      <c r="F183" s="2" t="s">
        <v>1102</v>
      </c>
      <c r="G183" s="2" t="s">
        <v>1103</v>
      </c>
      <c r="H183" s="2" t="s">
        <v>540</v>
      </c>
      <c r="J183" s="10" t="s">
        <v>14</v>
      </c>
    </row>
    <row r="184" spans="1:10" x14ac:dyDescent="0.25">
      <c r="A184" s="9" t="s">
        <v>259</v>
      </c>
      <c r="B184" s="9" t="s">
        <v>35</v>
      </c>
      <c r="C184" s="2" t="s">
        <v>1104</v>
      </c>
      <c r="D184" s="2" t="s">
        <v>1105</v>
      </c>
      <c r="E184" s="2" t="s">
        <v>1106</v>
      </c>
      <c r="F184" s="2" t="s">
        <v>1107</v>
      </c>
      <c r="G184" s="2" t="s">
        <v>1108</v>
      </c>
      <c r="H184" s="2" t="s">
        <v>540</v>
      </c>
      <c r="J184" s="10" t="s">
        <v>18</v>
      </c>
    </row>
    <row r="185" spans="1:10" x14ac:dyDescent="0.25">
      <c r="A185" s="9" t="s">
        <v>259</v>
      </c>
      <c r="B185" s="9" t="s">
        <v>36</v>
      </c>
      <c r="C185" s="2" t="s">
        <v>1109</v>
      </c>
      <c r="D185" s="2" t="s">
        <v>1110</v>
      </c>
      <c r="E185" s="2" t="s">
        <v>1111</v>
      </c>
      <c r="F185" s="2" t="s">
        <v>1112</v>
      </c>
      <c r="G185" s="2" t="s">
        <v>540</v>
      </c>
      <c r="J185" s="10" t="s">
        <v>14</v>
      </c>
    </row>
    <row r="186" spans="1:10" x14ac:dyDescent="0.25">
      <c r="A186" s="9" t="s">
        <v>259</v>
      </c>
      <c r="B186" s="9" t="s">
        <v>37</v>
      </c>
      <c r="C186" s="2" t="s">
        <v>1113</v>
      </c>
      <c r="D186" s="2" t="s">
        <v>1114</v>
      </c>
      <c r="E186" s="2" t="s">
        <v>1115</v>
      </c>
      <c r="F186" s="2" t="s">
        <v>1116</v>
      </c>
      <c r="G186" s="2" t="s">
        <v>1117</v>
      </c>
      <c r="H186" s="2" t="s">
        <v>540</v>
      </c>
      <c r="J186" s="10" t="s">
        <v>21</v>
      </c>
    </row>
    <row r="187" spans="1:10" x14ac:dyDescent="0.25">
      <c r="A187" s="9" t="s">
        <v>259</v>
      </c>
      <c r="B187" s="9" t="s">
        <v>38</v>
      </c>
      <c r="C187" s="2" t="s">
        <v>1118</v>
      </c>
      <c r="D187" s="2" t="s">
        <v>1119</v>
      </c>
      <c r="E187" s="2" t="s">
        <v>1120</v>
      </c>
      <c r="F187" s="2" t="s">
        <v>1121</v>
      </c>
      <c r="G187" s="2" t="s">
        <v>1122</v>
      </c>
      <c r="H187" s="2" t="s">
        <v>540</v>
      </c>
      <c r="J187" s="10" t="s">
        <v>18</v>
      </c>
    </row>
    <row r="188" spans="1:10" x14ac:dyDescent="0.25">
      <c r="A188" s="9" t="s">
        <v>265</v>
      </c>
      <c r="B188" s="9" t="s">
        <v>11</v>
      </c>
      <c r="C188" s="2" t="s">
        <v>1123</v>
      </c>
      <c r="D188" s="2" t="s">
        <v>1124</v>
      </c>
      <c r="E188" s="2" t="s">
        <v>1125</v>
      </c>
      <c r="F188" s="2" t="s">
        <v>1126</v>
      </c>
      <c r="G188" s="2" t="s">
        <v>540</v>
      </c>
      <c r="J188" s="10" t="s">
        <v>14</v>
      </c>
    </row>
    <row r="189" spans="1:10" x14ac:dyDescent="0.25">
      <c r="A189" s="9" t="s">
        <v>265</v>
      </c>
      <c r="B189" s="9" t="s">
        <v>13</v>
      </c>
      <c r="C189" s="2" t="s">
        <v>1188</v>
      </c>
      <c r="D189" s="2" t="s">
        <v>1127</v>
      </c>
      <c r="E189" s="2" t="s">
        <v>1128</v>
      </c>
      <c r="F189" s="2" t="s">
        <v>1189</v>
      </c>
      <c r="G189" s="2" t="s">
        <v>1190</v>
      </c>
      <c r="H189" s="2" t="s">
        <v>1129</v>
      </c>
      <c r="J189" s="10" t="s">
        <v>14</v>
      </c>
    </row>
    <row r="190" spans="1:10" x14ac:dyDescent="0.25">
      <c r="A190" s="9" t="s">
        <v>265</v>
      </c>
      <c r="B190" s="20" t="s">
        <v>15</v>
      </c>
      <c r="C190" s="2" t="s">
        <v>1130</v>
      </c>
      <c r="D190" s="2" t="s">
        <v>1131</v>
      </c>
      <c r="E190" s="2" t="s">
        <v>1132</v>
      </c>
      <c r="F190" s="2" t="s">
        <v>1133</v>
      </c>
      <c r="G190" s="2" t="s">
        <v>1134</v>
      </c>
      <c r="J190" s="10" t="s">
        <v>21</v>
      </c>
    </row>
    <row r="191" spans="1:10" x14ac:dyDescent="0.25">
      <c r="A191" s="9" t="s">
        <v>265</v>
      </c>
      <c r="B191" s="9" t="s">
        <v>16</v>
      </c>
      <c r="C191" s="2" t="s">
        <v>1191</v>
      </c>
      <c r="D191" s="2" t="s">
        <v>432</v>
      </c>
      <c r="E191" s="2" t="s">
        <v>433</v>
      </c>
      <c r="J191" s="10" t="s">
        <v>21</v>
      </c>
    </row>
    <row r="192" spans="1:10" x14ac:dyDescent="0.25">
      <c r="A192" s="9" t="s">
        <v>265</v>
      </c>
      <c r="B192" s="9" t="s">
        <v>17</v>
      </c>
      <c r="C192" s="2" t="s">
        <v>1135</v>
      </c>
      <c r="D192" s="2" t="s">
        <v>1136</v>
      </c>
      <c r="E192" s="2" t="s">
        <v>1137</v>
      </c>
      <c r="F192" s="2" t="s">
        <v>1138</v>
      </c>
      <c r="G192" s="2" t="s">
        <v>1139</v>
      </c>
      <c r="H192" s="2" t="s">
        <v>540</v>
      </c>
      <c r="J192" s="10" t="s">
        <v>12</v>
      </c>
    </row>
    <row r="193" spans="1:10" x14ac:dyDescent="0.25">
      <c r="A193" s="9" t="s">
        <v>265</v>
      </c>
      <c r="B193" s="20" t="s">
        <v>19</v>
      </c>
      <c r="C193" s="2" t="s">
        <v>1140</v>
      </c>
      <c r="D193" s="2" t="s">
        <v>1141</v>
      </c>
      <c r="E193" s="2" t="s">
        <v>1142</v>
      </c>
      <c r="F193" s="2" t="s">
        <v>1143</v>
      </c>
      <c r="G193" s="2" t="s">
        <v>1144</v>
      </c>
      <c r="H193" s="2" t="s">
        <v>540</v>
      </c>
      <c r="J193" s="10" t="s">
        <v>18</v>
      </c>
    </row>
    <row r="194" spans="1:10" x14ac:dyDescent="0.25">
      <c r="A194" s="9" t="s">
        <v>265</v>
      </c>
      <c r="B194" s="9" t="s">
        <v>20</v>
      </c>
      <c r="C194" s="2" t="s">
        <v>1192</v>
      </c>
      <c r="D194" s="2" t="s">
        <v>1145</v>
      </c>
      <c r="E194" s="2" t="s">
        <v>1146</v>
      </c>
      <c r="F194" s="2" t="s">
        <v>1147</v>
      </c>
      <c r="G194" s="2" t="s">
        <v>1148</v>
      </c>
      <c r="H194" s="2" t="s">
        <v>540</v>
      </c>
      <c r="J194" s="10" t="s">
        <v>12</v>
      </c>
    </row>
    <row r="195" spans="1:10" x14ac:dyDescent="0.25">
      <c r="A195" s="9" t="s">
        <v>265</v>
      </c>
      <c r="B195" s="9" t="s">
        <v>22</v>
      </c>
      <c r="C195" s="2" t="s">
        <v>1193</v>
      </c>
      <c r="D195" s="2" t="s">
        <v>1149</v>
      </c>
      <c r="E195" s="2" t="s">
        <v>1150</v>
      </c>
      <c r="F195" s="2" t="s">
        <v>1194</v>
      </c>
      <c r="G195" s="2" t="s">
        <v>540</v>
      </c>
      <c r="J195" s="10" t="s">
        <v>21</v>
      </c>
    </row>
    <row r="196" spans="1:10" x14ac:dyDescent="0.25">
      <c r="A196" s="9" t="s">
        <v>265</v>
      </c>
      <c r="B196" s="9" t="s">
        <v>24</v>
      </c>
      <c r="C196" s="2" t="s">
        <v>1195</v>
      </c>
      <c r="D196" s="2" t="s">
        <v>1151</v>
      </c>
      <c r="E196" s="2" t="s">
        <v>1152</v>
      </c>
      <c r="F196" s="2" t="s">
        <v>1153</v>
      </c>
      <c r="G196" s="2" t="s">
        <v>1154</v>
      </c>
      <c r="H196" s="2" t="s">
        <v>540</v>
      </c>
      <c r="J196" s="10" t="s">
        <v>12</v>
      </c>
    </row>
    <row r="197" spans="1:10" x14ac:dyDescent="0.25">
      <c r="A197" s="9" t="s">
        <v>265</v>
      </c>
      <c r="B197" s="20" t="s">
        <v>25</v>
      </c>
      <c r="C197" s="2" t="s">
        <v>1155</v>
      </c>
      <c r="D197" s="2" t="s">
        <v>1156</v>
      </c>
      <c r="E197" s="2" t="s">
        <v>1157</v>
      </c>
      <c r="F197" s="2" t="s">
        <v>1158</v>
      </c>
      <c r="G197" s="2" t="s">
        <v>540</v>
      </c>
      <c r="J197" s="10" t="s">
        <v>14</v>
      </c>
    </row>
    <row r="198" spans="1:10" x14ac:dyDescent="0.25">
      <c r="A198" s="9" t="s">
        <v>265</v>
      </c>
      <c r="B198" s="20" t="s">
        <v>26</v>
      </c>
      <c r="C198" s="2" t="s">
        <v>1159</v>
      </c>
      <c r="D198" s="2" t="s">
        <v>1160</v>
      </c>
      <c r="E198" s="2" t="s">
        <v>1161</v>
      </c>
      <c r="F198" s="2" t="s">
        <v>1162</v>
      </c>
      <c r="G198" s="2" t="s">
        <v>540</v>
      </c>
      <c r="J198" s="10" t="s">
        <v>21</v>
      </c>
    </row>
    <row r="199" spans="1:10" x14ac:dyDescent="0.25">
      <c r="A199" s="9" t="s">
        <v>265</v>
      </c>
      <c r="B199" s="9" t="s">
        <v>27</v>
      </c>
      <c r="C199" s="2" t="s">
        <v>1163</v>
      </c>
      <c r="D199" s="2" t="s">
        <v>1164</v>
      </c>
      <c r="E199" s="2" t="s">
        <v>169</v>
      </c>
      <c r="F199" s="2" t="s">
        <v>1165</v>
      </c>
      <c r="G199" s="2" t="s">
        <v>540</v>
      </c>
      <c r="J199" s="10" t="s">
        <v>18</v>
      </c>
    </row>
    <row r="200" spans="1:10" x14ac:dyDescent="0.25">
      <c r="A200" s="9" t="s">
        <v>265</v>
      </c>
      <c r="B200" s="9" t="s">
        <v>28</v>
      </c>
      <c r="C200" s="2" t="s">
        <v>1166</v>
      </c>
      <c r="D200" s="2" t="s">
        <v>1167</v>
      </c>
      <c r="E200" s="2" t="s">
        <v>1168</v>
      </c>
      <c r="F200" s="2" t="s">
        <v>1169</v>
      </c>
      <c r="G200" s="2" t="s">
        <v>1170</v>
      </c>
      <c r="H200" s="2" t="s">
        <v>540</v>
      </c>
      <c r="J200" s="10" t="s">
        <v>18</v>
      </c>
    </row>
    <row r="201" spans="1:10" x14ac:dyDescent="0.25">
      <c r="A201" s="9" t="s">
        <v>265</v>
      </c>
      <c r="B201" s="9" t="s">
        <v>29</v>
      </c>
      <c r="C201" s="2" t="s">
        <v>1171</v>
      </c>
      <c r="D201" s="2" t="s">
        <v>1172</v>
      </c>
      <c r="E201" s="2" t="s">
        <v>1162</v>
      </c>
      <c r="F201" s="2" t="s">
        <v>1196</v>
      </c>
      <c r="G201" s="2" t="s">
        <v>540</v>
      </c>
      <c r="H201" s="2" t="s">
        <v>540</v>
      </c>
      <c r="J201" s="10" t="s">
        <v>18</v>
      </c>
    </row>
    <row r="202" spans="1:10" x14ac:dyDescent="0.25">
      <c r="A202" s="9" t="s">
        <v>265</v>
      </c>
      <c r="B202" s="9" t="s">
        <v>30</v>
      </c>
      <c r="C202" s="2" t="s">
        <v>1173</v>
      </c>
      <c r="D202" s="2" t="s">
        <v>1174</v>
      </c>
      <c r="E202" s="2" t="s">
        <v>1175</v>
      </c>
      <c r="F202" s="2" t="s">
        <v>540</v>
      </c>
      <c r="J202" s="10" t="s">
        <v>18</v>
      </c>
    </row>
    <row r="203" spans="1:10" x14ac:dyDescent="0.25">
      <c r="A203" s="9" t="s">
        <v>265</v>
      </c>
      <c r="B203" s="9" t="s">
        <v>31</v>
      </c>
      <c r="C203" s="2" t="s">
        <v>1176</v>
      </c>
      <c r="D203" s="2" t="s">
        <v>1177</v>
      </c>
      <c r="E203" s="2" t="s">
        <v>1197</v>
      </c>
      <c r="F203" s="2" t="s">
        <v>1178</v>
      </c>
      <c r="G203" s="2" t="s">
        <v>1179</v>
      </c>
      <c r="J203" s="10" t="s">
        <v>18</v>
      </c>
    </row>
    <row r="204" spans="1:10" x14ac:dyDescent="0.25">
      <c r="A204" s="9" t="s">
        <v>265</v>
      </c>
      <c r="B204" s="9" t="s">
        <v>32</v>
      </c>
      <c r="C204" s="2" t="s">
        <v>1180</v>
      </c>
      <c r="D204" s="2" t="s">
        <v>1181</v>
      </c>
      <c r="E204" s="2" t="s">
        <v>1182</v>
      </c>
      <c r="F204" s="2" t="s">
        <v>1183</v>
      </c>
      <c r="G204" s="2" t="s">
        <v>1184</v>
      </c>
      <c r="H204" s="2" t="s">
        <v>540</v>
      </c>
      <c r="J204" s="10" t="s">
        <v>12</v>
      </c>
    </row>
    <row r="205" spans="1:10" x14ac:dyDescent="0.25">
      <c r="A205" s="9" t="s">
        <v>265</v>
      </c>
      <c r="B205" s="9" t="s">
        <v>33</v>
      </c>
      <c r="C205" s="2" t="s">
        <v>1185</v>
      </c>
      <c r="D205" s="2" t="s">
        <v>1186</v>
      </c>
      <c r="E205" s="2" t="s">
        <v>1198</v>
      </c>
      <c r="F205" s="2" t="s">
        <v>1187</v>
      </c>
      <c r="G205" s="2" t="s">
        <v>540</v>
      </c>
      <c r="J205" s="10" t="s">
        <v>14</v>
      </c>
    </row>
    <row r="206" spans="1:10" x14ac:dyDescent="0.25">
      <c r="A206" s="9" t="s">
        <v>1505</v>
      </c>
      <c r="B206" s="9" t="s">
        <v>11</v>
      </c>
      <c r="C206" s="2" t="s">
        <v>1495</v>
      </c>
      <c r="D206" s="2" t="s">
        <v>1254</v>
      </c>
      <c r="E206" s="2" t="s">
        <v>1255</v>
      </c>
      <c r="F206" s="2" t="s">
        <v>1256</v>
      </c>
      <c r="G206" s="2" t="s">
        <v>90</v>
      </c>
      <c r="H206" s="2" t="s">
        <v>1257</v>
      </c>
      <c r="J206" s="10" t="s">
        <v>14</v>
      </c>
    </row>
    <row r="207" spans="1:10" x14ac:dyDescent="0.25">
      <c r="A207" s="9" t="s">
        <v>1505</v>
      </c>
      <c r="B207" s="9" t="s">
        <v>13</v>
      </c>
      <c r="C207" s="2" t="s">
        <v>1258</v>
      </c>
      <c r="D207" s="2" t="s">
        <v>411</v>
      </c>
      <c r="E207" s="2" t="s">
        <v>1259</v>
      </c>
      <c r="F207" s="2" t="s">
        <v>1260</v>
      </c>
      <c r="G207" s="2" t="s">
        <v>1261</v>
      </c>
      <c r="H207" s="2" t="s">
        <v>1262</v>
      </c>
      <c r="J207" s="10" t="s">
        <v>14</v>
      </c>
    </row>
    <row r="208" spans="1:10" x14ac:dyDescent="0.25">
      <c r="A208" s="9" t="s">
        <v>1505</v>
      </c>
      <c r="B208" s="9" t="s">
        <v>15</v>
      </c>
      <c r="C208" s="2" t="s">
        <v>1263</v>
      </c>
      <c r="D208" s="2" t="s">
        <v>1264</v>
      </c>
      <c r="E208" s="2" t="s">
        <v>1265</v>
      </c>
      <c r="F208" s="2" t="s">
        <v>1266</v>
      </c>
      <c r="G208" s="2" t="s">
        <v>1267</v>
      </c>
      <c r="H208" s="2" t="s">
        <v>1268</v>
      </c>
      <c r="J208" s="10" t="s">
        <v>12</v>
      </c>
    </row>
    <row r="209" spans="1:10" x14ac:dyDescent="0.25">
      <c r="A209" s="9" t="s">
        <v>1505</v>
      </c>
      <c r="B209" s="9" t="s">
        <v>16</v>
      </c>
      <c r="C209" s="2" t="s">
        <v>1269</v>
      </c>
      <c r="D209" s="2" t="s">
        <v>1270</v>
      </c>
      <c r="E209" s="2" t="s">
        <v>1271</v>
      </c>
      <c r="F209" s="2" t="s">
        <v>1272</v>
      </c>
      <c r="G209" s="2" t="s">
        <v>90</v>
      </c>
      <c r="H209" s="2" t="s">
        <v>1273</v>
      </c>
      <c r="J209" s="10" t="s">
        <v>23</v>
      </c>
    </row>
    <row r="210" spans="1:10" x14ac:dyDescent="0.25">
      <c r="A210" s="9" t="s">
        <v>1505</v>
      </c>
      <c r="B210" s="9" t="s">
        <v>17</v>
      </c>
      <c r="C210" s="2" t="s">
        <v>1274</v>
      </c>
      <c r="D210" s="2" t="s">
        <v>1275</v>
      </c>
      <c r="E210" s="2" t="s">
        <v>1276</v>
      </c>
      <c r="F210" s="2" t="s">
        <v>1277</v>
      </c>
      <c r="G210" s="2" t="s">
        <v>1278</v>
      </c>
      <c r="H210" s="2" t="s">
        <v>376</v>
      </c>
      <c r="J210" s="10" t="s">
        <v>23</v>
      </c>
    </row>
    <row r="211" spans="1:10" x14ac:dyDescent="0.25">
      <c r="A211" s="9" t="s">
        <v>1505</v>
      </c>
      <c r="B211" s="9" t="s">
        <v>19</v>
      </c>
      <c r="C211" s="2" t="s">
        <v>1279</v>
      </c>
      <c r="D211" s="2" t="s">
        <v>1280</v>
      </c>
      <c r="E211" s="2" t="s">
        <v>1281</v>
      </c>
      <c r="F211" s="2" t="s">
        <v>1282</v>
      </c>
      <c r="G211" s="2" t="s">
        <v>90</v>
      </c>
      <c r="H211" s="2" t="s">
        <v>1283</v>
      </c>
      <c r="J211" s="10" t="s">
        <v>18</v>
      </c>
    </row>
    <row r="212" spans="1:10" x14ac:dyDescent="0.25">
      <c r="A212" s="9" t="s">
        <v>1505</v>
      </c>
      <c r="B212" s="9" t="s">
        <v>20</v>
      </c>
      <c r="C212" s="2" t="s">
        <v>1284</v>
      </c>
      <c r="D212" s="2" t="s">
        <v>1285</v>
      </c>
      <c r="E212" s="2" t="s">
        <v>1286</v>
      </c>
      <c r="F212" s="2" t="s">
        <v>1287</v>
      </c>
      <c r="G212" s="2" t="s">
        <v>90</v>
      </c>
      <c r="H212" s="2" t="s">
        <v>1288</v>
      </c>
      <c r="J212" s="10" t="s">
        <v>23</v>
      </c>
    </row>
    <row r="213" spans="1:10" x14ac:dyDescent="0.25">
      <c r="A213" s="9" t="s">
        <v>1505</v>
      </c>
      <c r="B213" s="9" t="s">
        <v>22</v>
      </c>
      <c r="C213" s="2" t="s">
        <v>1289</v>
      </c>
      <c r="D213" s="2" t="s">
        <v>1290</v>
      </c>
      <c r="E213" s="2" t="s">
        <v>90</v>
      </c>
      <c r="F213" s="2" t="s">
        <v>1291</v>
      </c>
      <c r="G213" s="2" t="s">
        <v>1292</v>
      </c>
      <c r="H213" s="2" t="s">
        <v>1293</v>
      </c>
      <c r="J213" s="10" t="s">
        <v>12</v>
      </c>
    </row>
    <row r="214" spans="1:10" x14ac:dyDescent="0.25">
      <c r="A214" s="9" t="s">
        <v>1505</v>
      </c>
      <c r="B214" s="9" t="s">
        <v>24</v>
      </c>
      <c r="C214" s="2" t="s">
        <v>1294</v>
      </c>
      <c r="D214" s="2" t="s">
        <v>1295</v>
      </c>
      <c r="E214" s="2" t="s">
        <v>1296</v>
      </c>
      <c r="F214" s="2" t="s">
        <v>1297</v>
      </c>
      <c r="G214" s="2" t="s">
        <v>1298</v>
      </c>
      <c r="H214" s="2" t="s">
        <v>540</v>
      </c>
      <c r="J214" s="10" t="s">
        <v>12</v>
      </c>
    </row>
    <row r="215" spans="1:10" x14ac:dyDescent="0.25">
      <c r="A215" s="9" t="s">
        <v>1505</v>
      </c>
      <c r="B215" s="9" t="s">
        <v>25</v>
      </c>
      <c r="C215" s="2" t="s">
        <v>1299</v>
      </c>
      <c r="D215" s="2" t="s">
        <v>1300</v>
      </c>
      <c r="E215" s="2" t="s">
        <v>1301</v>
      </c>
      <c r="F215" s="2" t="s">
        <v>90</v>
      </c>
      <c r="G215" s="2" t="s">
        <v>1302</v>
      </c>
      <c r="H215" s="2" t="s">
        <v>1303</v>
      </c>
      <c r="J215" s="10" t="s">
        <v>14</v>
      </c>
    </row>
    <row r="216" spans="1:10" x14ac:dyDescent="0.25">
      <c r="A216" s="9" t="s">
        <v>1505</v>
      </c>
      <c r="B216" s="9" t="s">
        <v>26</v>
      </c>
      <c r="C216" s="2" t="s">
        <v>1304</v>
      </c>
      <c r="D216" s="2" t="s">
        <v>1305</v>
      </c>
      <c r="E216" s="2" t="s">
        <v>1306</v>
      </c>
      <c r="F216" s="2" t="s">
        <v>1307</v>
      </c>
      <c r="G216" s="2" t="s">
        <v>90</v>
      </c>
      <c r="H216" s="2" t="s">
        <v>1498</v>
      </c>
      <c r="J216" s="10" t="s">
        <v>21</v>
      </c>
    </row>
    <row r="217" spans="1:10" x14ac:dyDescent="0.25">
      <c r="A217" s="9" t="s">
        <v>1505</v>
      </c>
      <c r="B217" s="9" t="s">
        <v>27</v>
      </c>
      <c r="C217" s="2" t="s">
        <v>1308</v>
      </c>
      <c r="D217" s="2" t="s">
        <v>18</v>
      </c>
      <c r="E217" s="2" t="s">
        <v>12</v>
      </c>
      <c r="F217" s="2" t="s">
        <v>14</v>
      </c>
      <c r="G217" s="2" t="s">
        <v>90</v>
      </c>
      <c r="H217" s="2" t="s">
        <v>21</v>
      </c>
      <c r="J217" s="10" t="s">
        <v>23</v>
      </c>
    </row>
    <row r="218" spans="1:10" x14ac:dyDescent="0.25">
      <c r="A218" s="9" t="s">
        <v>1505</v>
      </c>
      <c r="B218" s="9" t="s">
        <v>28</v>
      </c>
      <c r="C218" s="2" t="s">
        <v>1309</v>
      </c>
      <c r="D218" s="2" t="s">
        <v>1310</v>
      </c>
      <c r="E218" s="2" t="s">
        <v>90</v>
      </c>
      <c r="F218" s="2" t="s">
        <v>1311</v>
      </c>
      <c r="G218" s="2" t="s">
        <v>1312</v>
      </c>
      <c r="H218" s="2" t="s">
        <v>1313</v>
      </c>
      <c r="J218" s="10" t="s">
        <v>23</v>
      </c>
    </row>
    <row r="219" spans="1:10" x14ac:dyDescent="0.25">
      <c r="A219" s="9" t="s">
        <v>1505</v>
      </c>
      <c r="B219" s="9" t="s">
        <v>29</v>
      </c>
      <c r="C219" s="2" t="s">
        <v>1497</v>
      </c>
      <c r="D219" s="2" t="s">
        <v>895</v>
      </c>
      <c r="E219" s="2" t="s">
        <v>897</v>
      </c>
      <c r="F219" s="2" t="s">
        <v>894</v>
      </c>
      <c r="G219" s="2" t="s">
        <v>1314</v>
      </c>
      <c r="H219" s="2" t="s">
        <v>90</v>
      </c>
      <c r="J219" s="10" t="s">
        <v>23</v>
      </c>
    </row>
    <row r="220" spans="1:10" x14ac:dyDescent="0.25">
      <c r="A220" s="9" t="s">
        <v>1505</v>
      </c>
      <c r="B220" s="9" t="s">
        <v>30</v>
      </c>
      <c r="C220" s="2" t="s">
        <v>1315</v>
      </c>
      <c r="D220" s="2" t="s">
        <v>1316</v>
      </c>
      <c r="E220" s="2" t="s">
        <v>1317</v>
      </c>
      <c r="F220" s="2" t="s">
        <v>1318</v>
      </c>
      <c r="G220" s="2" t="s">
        <v>90</v>
      </c>
      <c r="H220" s="2" t="s">
        <v>854</v>
      </c>
      <c r="J220" s="10" t="s">
        <v>14</v>
      </c>
    </row>
    <row r="221" spans="1:10" x14ac:dyDescent="0.25">
      <c r="A221" s="9" t="s">
        <v>1505</v>
      </c>
      <c r="B221" s="9" t="s">
        <v>31</v>
      </c>
      <c r="C221" s="2" t="s">
        <v>1319</v>
      </c>
      <c r="D221" s="2" t="s">
        <v>1320</v>
      </c>
      <c r="E221" s="2" t="s">
        <v>1321</v>
      </c>
      <c r="F221" s="2" t="s">
        <v>1322</v>
      </c>
      <c r="G221" s="2" t="s">
        <v>90</v>
      </c>
      <c r="H221" s="2" t="s">
        <v>1323</v>
      </c>
      <c r="J221" s="10" t="s">
        <v>14</v>
      </c>
    </row>
    <row r="222" spans="1:10" x14ac:dyDescent="0.25">
      <c r="A222" s="9" t="s">
        <v>1505</v>
      </c>
      <c r="B222" s="9" t="s">
        <v>32</v>
      </c>
      <c r="C222" s="2" t="s">
        <v>1324</v>
      </c>
      <c r="D222" s="2" t="s">
        <v>90</v>
      </c>
      <c r="E222" s="2" t="s">
        <v>1325</v>
      </c>
      <c r="F222" s="2" t="s">
        <v>1496</v>
      </c>
      <c r="G222" s="2" t="s">
        <v>1326</v>
      </c>
      <c r="H222" s="2" t="s">
        <v>1327</v>
      </c>
      <c r="J222" s="10" t="s">
        <v>18</v>
      </c>
    </row>
    <row r="223" spans="1:10" x14ac:dyDescent="0.25">
      <c r="A223" s="9" t="s">
        <v>1505</v>
      </c>
      <c r="B223" s="9" t="s">
        <v>33</v>
      </c>
      <c r="C223" s="2" t="s">
        <v>1328</v>
      </c>
      <c r="D223" s="2" t="s">
        <v>1329</v>
      </c>
      <c r="E223" s="2" t="s">
        <v>1330</v>
      </c>
      <c r="F223" s="2" t="s">
        <v>90</v>
      </c>
      <c r="G223" s="2" t="s">
        <v>1331</v>
      </c>
      <c r="H223" s="2" t="s">
        <v>1332</v>
      </c>
      <c r="J223" s="10" t="s">
        <v>14</v>
      </c>
    </row>
    <row r="224" spans="1:10" x14ac:dyDescent="0.25">
      <c r="A224" s="9" t="s">
        <v>1505</v>
      </c>
      <c r="B224" s="9" t="s">
        <v>34</v>
      </c>
      <c r="C224" s="2" t="s">
        <v>1333</v>
      </c>
      <c r="D224" s="2" t="s">
        <v>437</v>
      </c>
      <c r="E224" s="2" t="s">
        <v>90</v>
      </c>
      <c r="F224" s="2" t="s">
        <v>439</v>
      </c>
      <c r="G224" s="2" t="s">
        <v>438</v>
      </c>
      <c r="H224" s="2" t="s">
        <v>440</v>
      </c>
      <c r="J224" s="10" t="s">
        <v>23</v>
      </c>
    </row>
    <row r="225" spans="1:10" x14ac:dyDescent="0.25">
      <c r="A225" s="9" t="s">
        <v>1505</v>
      </c>
      <c r="B225" s="9" t="s">
        <v>35</v>
      </c>
      <c r="C225" s="2" t="s">
        <v>1334</v>
      </c>
      <c r="D225" s="2" t="s">
        <v>439</v>
      </c>
      <c r="E225" s="2" t="s">
        <v>90</v>
      </c>
      <c r="F225" s="2" t="s">
        <v>438</v>
      </c>
      <c r="G225" s="2" t="s">
        <v>440</v>
      </c>
      <c r="H225" s="2" t="s">
        <v>437</v>
      </c>
      <c r="J225" s="10" t="s">
        <v>23</v>
      </c>
    </row>
    <row r="226" spans="1:10" x14ac:dyDescent="0.25">
      <c r="A226" s="9" t="s">
        <v>1506</v>
      </c>
      <c r="B226" s="9" t="s">
        <v>11</v>
      </c>
      <c r="C226" s="2" t="s">
        <v>1335</v>
      </c>
      <c r="D226" s="2" t="s">
        <v>1336</v>
      </c>
      <c r="E226" s="2" t="s">
        <v>1337</v>
      </c>
      <c r="F226" s="2" t="s">
        <v>1338</v>
      </c>
      <c r="G226" s="2" t="s">
        <v>90</v>
      </c>
      <c r="H226" s="2" t="s">
        <v>1339</v>
      </c>
      <c r="J226" s="10" t="s">
        <v>21</v>
      </c>
    </row>
    <row r="227" spans="1:10" x14ac:dyDescent="0.25">
      <c r="A227" s="9" t="s">
        <v>1506</v>
      </c>
      <c r="B227" s="9" t="s">
        <v>13</v>
      </c>
      <c r="C227" s="2" t="s">
        <v>1340</v>
      </c>
      <c r="D227" s="2" t="s">
        <v>1341</v>
      </c>
      <c r="E227" s="2" t="s">
        <v>1342</v>
      </c>
      <c r="F227" s="2" t="s">
        <v>1343</v>
      </c>
      <c r="G227" s="2" t="s">
        <v>1344</v>
      </c>
      <c r="H227" s="2" t="s">
        <v>90</v>
      </c>
      <c r="J227" s="10" t="s">
        <v>21</v>
      </c>
    </row>
    <row r="228" spans="1:10" x14ac:dyDescent="0.25">
      <c r="A228" s="9" t="s">
        <v>1506</v>
      </c>
      <c r="B228" s="9" t="s">
        <v>15</v>
      </c>
      <c r="C228" s="2" t="s">
        <v>1345</v>
      </c>
      <c r="D228" s="2" t="s">
        <v>1346</v>
      </c>
      <c r="E228" s="2" t="s">
        <v>1347</v>
      </c>
      <c r="F228" s="2" t="s">
        <v>1348</v>
      </c>
      <c r="G228" s="2" t="s">
        <v>1349</v>
      </c>
      <c r="H228" s="2" t="s">
        <v>90</v>
      </c>
      <c r="J228" s="10" t="s">
        <v>14</v>
      </c>
    </row>
    <row r="229" spans="1:10" x14ac:dyDescent="0.25">
      <c r="A229" s="9" t="s">
        <v>1506</v>
      </c>
      <c r="B229" s="9" t="s">
        <v>16</v>
      </c>
      <c r="C229" s="2" t="s">
        <v>1350</v>
      </c>
      <c r="D229" s="2" t="s">
        <v>1351</v>
      </c>
      <c r="E229" s="2" t="s">
        <v>1352</v>
      </c>
      <c r="F229" s="2" t="s">
        <v>1353</v>
      </c>
      <c r="G229" s="2" t="s">
        <v>1354</v>
      </c>
      <c r="H229" s="2" t="s">
        <v>90</v>
      </c>
      <c r="J229" s="10" t="s">
        <v>14</v>
      </c>
    </row>
    <row r="230" spans="1:10" x14ac:dyDescent="0.25">
      <c r="A230" s="9" t="s">
        <v>1506</v>
      </c>
      <c r="B230" s="9" t="s">
        <v>17</v>
      </c>
      <c r="C230" s="2" t="s">
        <v>1355</v>
      </c>
      <c r="D230" s="2" t="s">
        <v>90</v>
      </c>
      <c r="E230" s="2" t="s">
        <v>1356</v>
      </c>
      <c r="F230" s="2" t="s">
        <v>1357</v>
      </c>
      <c r="G230" s="2" t="s">
        <v>1358</v>
      </c>
      <c r="H230" s="2" t="s">
        <v>1359</v>
      </c>
      <c r="J230" s="10" t="s">
        <v>18</v>
      </c>
    </row>
    <row r="231" spans="1:10" x14ac:dyDescent="0.25">
      <c r="A231" s="9" t="s">
        <v>1506</v>
      </c>
      <c r="B231" s="9" t="s">
        <v>19</v>
      </c>
      <c r="C231" s="2" t="s">
        <v>1360</v>
      </c>
      <c r="D231" s="2" t="s">
        <v>1361</v>
      </c>
      <c r="E231" s="2" t="s">
        <v>1362</v>
      </c>
      <c r="F231" s="2" t="s">
        <v>1502</v>
      </c>
      <c r="G231" s="2" t="s">
        <v>90</v>
      </c>
      <c r="J231" s="10" t="s">
        <v>14</v>
      </c>
    </row>
    <row r="232" spans="1:10" x14ac:dyDescent="0.25">
      <c r="A232" s="9" t="s">
        <v>1506</v>
      </c>
      <c r="B232" s="9" t="s">
        <v>20</v>
      </c>
      <c r="C232" s="2" t="s">
        <v>1363</v>
      </c>
      <c r="D232" s="2" t="s">
        <v>90</v>
      </c>
      <c r="E232" s="2" t="s">
        <v>1364</v>
      </c>
      <c r="F232" s="2" t="s">
        <v>1365</v>
      </c>
      <c r="G232" s="2" t="s">
        <v>1366</v>
      </c>
      <c r="H232" s="2" t="s">
        <v>1367</v>
      </c>
      <c r="J232" s="10" t="s">
        <v>18</v>
      </c>
    </row>
    <row r="233" spans="1:10" x14ac:dyDescent="0.25">
      <c r="A233" s="9" t="s">
        <v>1506</v>
      </c>
      <c r="B233" s="9" t="s">
        <v>22</v>
      </c>
      <c r="C233" s="2" t="s">
        <v>1368</v>
      </c>
      <c r="D233" s="2" t="s">
        <v>1369</v>
      </c>
      <c r="E233" s="2" t="s">
        <v>90</v>
      </c>
      <c r="F233" s="2" t="s">
        <v>1370</v>
      </c>
      <c r="G233" s="2" t="s">
        <v>1371</v>
      </c>
      <c r="H233" s="2" t="s">
        <v>1372</v>
      </c>
      <c r="J233" s="10" t="s">
        <v>23</v>
      </c>
    </row>
    <row r="234" spans="1:10" x14ac:dyDescent="0.25">
      <c r="A234" s="9" t="s">
        <v>1506</v>
      </c>
      <c r="B234" s="9" t="s">
        <v>24</v>
      </c>
      <c r="C234" s="2" t="s">
        <v>1373</v>
      </c>
      <c r="D234" s="2" t="s">
        <v>1374</v>
      </c>
      <c r="E234" s="2" t="s">
        <v>1375</v>
      </c>
      <c r="F234" s="2" t="s">
        <v>1376</v>
      </c>
      <c r="G234" s="2" t="s">
        <v>1377</v>
      </c>
      <c r="H234" s="2" t="s">
        <v>1378</v>
      </c>
      <c r="J234" s="10" t="s">
        <v>12</v>
      </c>
    </row>
    <row r="235" spans="1:10" x14ac:dyDescent="0.25">
      <c r="A235" s="9" t="s">
        <v>1506</v>
      </c>
      <c r="B235" s="9" t="s">
        <v>25</v>
      </c>
      <c r="C235" s="2" t="s">
        <v>1379</v>
      </c>
      <c r="D235" s="2" t="s">
        <v>90</v>
      </c>
      <c r="E235" s="2" t="s">
        <v>1380</v>
      </c>
      <c r="F235" s="2" t="s">
        <v>1381</v>
      </c>
      <c r="G235" s="2" t="s">
        <v>1382</v>
      </c>
      <c r="H235" s="2" t="s">
        <v>1383</v>
      </c>
      <c r="J235" s="10" t="s">
        <v>18</v>
      </c>
    </row>
    <row r="236" spans="1:10" x14ac:dyDescent="0.25">
      <c r="A236" s="9" t="s">
        <v>1506</v>
      </c>
      <c r="B236" s="9" t="s">
        <v>26</v>
      </c>
      <c r="C236" s="2" t="s">
        <v>1384</v>
      </c>
      <c r="D236" s="2" t="s">
        <v>1385</v>
      </c>
      <c r="E236" s="2" t="s">
        <v>91</v>
      </c>
      <c r="F236" s="2" t="s">
        <v>1386</v>
      </c>
      <c r="G236" s="2" t="s">
        <v>1387</v>
      </c>
      <c r="H236" s="2" t="s">
        <v>1388</v>
      </c>
      <c r="J236" s="10" t="s">
        <v>14</v>
      </c>
    </row>
    <row r="237" spans="1:10" x14ac:dyDescent="0.25">
      <c r="A237" s="9" t="s">
        <v>1506</v>
      </c>
      <c r="B237" s="9" t="s">
        <v>27</v>
      </c>
      <c r="C237" s="2" t="s">
        <v>1389</v>
      </c>
      <c r="D237" s="2" t="s">
        <v>939</v>
      </c>
      <c r="E237" s="2" t="s">
        <v>1390</v>
      </c>
      <c r="F237" s="2" t="s">
        <v>1391</v>
      </c>
      <c r="G237" s="2" t="s">
        <v>90</v>
      </c>
      <c r="H237" s="2" t="s">
        <v>1392</v>
      </c>
      <c r="J237" s="10" t="s">
        <v>18</v>
      </c>
    </row>
    <row r="238" spans="1:10" x14ac:dyDescent="0.25">
      <c r="A238" s="9" t="s">
        <v>1506</v>
      </c>
      <c r="B238" s="9" t="s">
        <v>28</v>
      </c>
      <c r="C238" s="2" t="s">
        <v>1393</v>
      </c>
      <c r="D238" s="2" t="s">
        <v>1394</v>
      </c>
      <c r="E238" s="2" t="s">
        <v>1395</v>
      </c>
      <c r="F238" s="2" t="s">
        <v>90</v>
      </c>
      <c r="G238" s="2" t="s">
        <v>1292</v>
      </c>
      <c r="H238" s="2" t="s">
        <v>1396</v>
      </c>
      <c r="J238" s="10" t="s">
        <v>12</v>
      </c>
    </row>
    <row r="239" spans="1:10" x14ac:dyDescent="0.25">
      <c r="A239" s="9" t="s">
        <v>1506</v>
      </c>
      <c r="B239" s="9" t="s">
        <v>29</v>
      </c>
      <c r="C239" s="2" t="s">
        <v>1397</v>
      </c>
      <c r="D239" s="2" t="s">
        <v>1398</v>
      </c>
      <c r="E239" s="2" t="s">
        <v>1399</v>
      </c>
      <c r="F239" s="2" t="s">
        <v>90</v>
      </c>
      <c r="G239" s="2" t="s">
        <v>1400</v>
      </c>
      <c r="H239" s="2" t="s">
        <v>1401</v>
      </c>
      <c r="J239" s="10" t="s">
        <v>23</v>
      </c>
    </row>
    <row r="240" spans="1:10" x14ac:dyDescent="0.25">
      <c r="A240" s="9" t="s">
        <v>1506</v>
      </c>
      <c r="B240" s="9" t="s">
        <v>30</v>
      </c>
      <c r="C240" s="2" t="s">
        <v>1402</v>
      </c>
      <c r="D240" s="2" t="s">
        <v>474</v>
      </c>
      <c r="E240" s="2" t="s">
        <v>472</v>
      </c>
      <c r="F240" s="2" t="s">
        <v>1403</v>
      </c>
      <c r="G240" s="2" t="s">
        <v>90</v>
      </c>
      <c r="H240" s="2" t="s">
        <v>1404</v>
      </c>
      <c r="J240" s="10" t="s">
        <v>21</v>
      </c>
    </row>
    <row r="241" spans="1:10" x14ac:dyDescent="0.25">
      <c r="A241" s="9" t="s">
        <v>1506</v>
      </c>
      <c r="B241" s="9" t="s">
        <v>31</v>
      </c>
      <c r="C241" s="2" t="s">
        <v>1405</v>
      </c>
      <c r="D241" s="2" t="s">
        <v>1406</v>
      </c>
      <c r="E241" s="2" t="s">
        <v>1499</v>
      </c>
      <c r="F241" s="2" t="s">
        <v>90</v>
      </c>
      <c r="G241" s="2" t="s">
        <v>1500</v>
      </c>
      <c r="H241" s="2" t="s">
        <v>1407</v>
      </c>
      <c r="J241" s="10" t="s">
        <v>21</v>
      </c>
    </row>
    <row r="242" spans="1:10" x14ac:dyDescent="0.25">
      <c r="A242" s="9" t="s">
        <v>1506</v>
      </c>
      <c r="B242" s="9" t="s">
        <v>32</v>
      </c>
      <c r="C242" s="2" t="s">
        <v>1408</v>
      </c>
      <c r="D242" s="2" t="s">
        <v>1409</v>
      </c>
      <c r="E242" s="2" t="s">
        <v>1410</v>
      </c>
      <c r="F242" s="2" t="s">
        <v>90</v>
      </c>
      <c r="G242" s="2" t="s">
        <v>1411</v>
      </c>
      <c r="H242" s="2" t="s">
        <v>1412</v>
      </c>
      <c r="J242" s="10" t="s">
        <v>21</v>
      </c>
    </row>
    <row r="243" spans="1:10" x14ac:dyDescent="0.25">
      <c r="A243" s="9" t="s">
        <v>1506</v>
      </c>
      <c r="B243" s="9" t="s">
        <v>33</v>
      </c>
      <c r="C243" s="2" t="s">
        <v>1413</v>
      </c>
      <c r="D243" s="2" t="s">
        <v>96</v>
      </c>
      <c r="E243" s="2" t="s">
        <v>1414</v>
      </c>
      <c r="F243" s="2" t="s">
        <v>1415</v>
      </c>
      <c r="G243" s="2" t="s">
        <v>90</v>
      </c>
      <c r="H243" s="2" t="s">
        <v>1416</v>
      </c>
      <c r="J243" s="10" t="s">
        <v>14</v>
      </c>
    </row>
    <row r="244" spans="1:10" x14ac:dyDescent="0.25">
      <c r="A244" s="9" t="s">
        <v>1506</v>
      </c>
      <c r="B244" s="9" t="s">
        <v>34</v>
      </c>
      <c r="C244" s="2" t="s">
        <v>1417</v>
      </c>
      <c r="D244" s="2" t="s">
        <v>880</v>
      </c>
      <c r="E244" s="2" t="s">
        <v>879</v>
      </c>
      <c r="F244" s="2" t="s">
        <v>90</v>
      </c>
      <c r="G244" s="2" t="s">
        <v>882</v>
      </c>
      <c r="H244" s="2" t="s">
        <v>881</v>
      </c>
      <c r="J244" s="10" t="s">
        <v>21</v>
      </c>
    </row>
    <row r="245" spans="1:10" x14ac:dyDescent="0.25">
      <c r="A245" s="9" t="s">
        <v>1506</v>
      </c>
      <c r="B245" s="9" t="s">
        <v>35</v>
      </c>
      <c r="C245" s="2" t="s">
        <v>1418</v>
      </c>
      <c r="D245" s="2" t="s">
        <v>90</v>
      </c>
      <c r="E245" s="2" t="s">
        <v>1419</v>
      </c>
      <c r="F245" s="2" t="s">
        <v>1501</v>
      </c>
      <c r="G245" s="2" t="s">
        <v>1420</v>
      </c>
      <c r="H245" s="2" t="s">
        <v>1421</v>
      </c>
      <c r="J245" s="10" t="s">
        <v>18</v>
      </c>
    </row>
    <row r="246" spans="1:10" x14ac:dyDescent="0.25">
      <c r="A246" s="9" t="s">
        <v>1507</v>
      </c>
      <c r="B246" s="9" t="s">
        <v>11</v>
      </c>
      <c r="C246" s="2" t="s">
        <v>1422</v>
      </c>
      <c r="D246" s="2" t="s">
        <v>1423</v>
      </c>
      <c r="E246" s="2" t="s">
        <v>1424</v>
      </c>
      <c r="F246" s="2" t="s">
        <v>1425</v>
      </c>
      <c r="G246" s="2" t="s">
        <v>1426</v>
      </c>
      <c r="H246" s="2" t="s">
        <v>90</v>
      </c>
      <c r="J246" s="10" t="s">
        <v>21</v>
      </c>
    </row>
    <row r="247" spans="1:10" x14ac:dyDescent="0.25">
      <c r="A247" s="9" t="s">
        <v>1507</v>
      </c>
      <c r="B247" s="9" t="s">
        <v>13</v>
      </c>
      <c r="C247" s="2" t="s">
        <v>1427</v>
      </c>
      <c r="D247" s="2" t="s">
        <v>90</v>
      </c>
      <c r="E247" s="2" t="s">
        <v>1428</v>
      </c>
      <c r="F247" s="2" t="s">
        <v>1429</v>
      </c>
      <c r="G247" s="2" t="s">
        <v>1430</v>
      </c>
      <c r="H247" s="2" t="s">
        <v>1431</v>
      </c>
      <c r="J247" s="10" t="s">
        <v>21</v>
      </c>
    </row>
    <row r="248" spans="1:10" x14ac:dyDescent="0.25">
      <c r="A248" s="9" t="s">
        <v>1507</v>
      </c>
      <c r="B248" s="9" t="s">
        <v>15</v>
      </c>
      <c r="C248" s="2" t="s">
        <v>1432</v>
      </c>
      <c r="D248" s="2" t="s">
        <v>1433</v>
      </c>
      <c r="E248" s="2" t="s">
        <v>1434</v>
      </c>
      <c r="F248" s="2" t="s">
        <v>90</v>
      </c>
      <c r="G248" s="2" t="s">
        <v>1435</v>
      </c>
      <c r="H248" s="2" t="s">
        <v>1436</v>
      </c>
      <c r="J248" s="10" t="s">
        <v>21</v>
      </c>
    </row>
    <row r="249" spans="1:10" x14ac:dyDescent="0.25">
      <c r="A249" s="9" t="s">
        <v>1507</v>
      </c>
      <c r="B249" s="9" t="s">
        <v>16</v>
      </c>
      <c r="C249" s="2" t="s">
        <v>1437</v>
      </c>
      <c r="D249" s="2" t="s">
        <v>1438</v>
      </c>
      <c r="E249" s="2" t="s">
        <v>1439</v>
      </c>
      <c r="F249" s="2" t="s">
        <v>90</v>
      </c>
      <c r="G249" s="2" t="s">
        <v>1440</v>
      </c>
      <c r="H249" s="2" t="s">
        <v>1441</v>
      </c>
      <c r="J249" s="10" t="s">
        <v>21</v>
      </c>
    </row>
    <row r="250" spans="1:10" x14ac:dyDescent="0.25">
      <c r="A250" s="9" t="s">
        <v>1507</v>
      </c>
      <c r="B250" s="9" t="s">
        <v>17</v>
      </c>
      <c r="C250" s="2" t="s">
        <v>1442</v>
      </c>
      <c r="D250" s="2" t="s">
        <v>731</v>
      </c>
      <c r="E250" s="2" t="s">
        <v>728</v>
      </c>
      <c r="F250" s="2" t="s">
        <v>729</v>
      </c>
      <c r="G250" s="2" t="s">
        <v>90</v>
      </c>
      <c r="H250" s="2" t="s">
        <v>1443</v>
      </c>
      <c r="J250" s="10" t="s">
        <v>23</v>
      </c>
    </row>
    <row r="251" spans="1:10" x14ac:dyDescent="0.25">
      <c r="A251" s="9" t="s">
        <v>1507</v>
      </c>
      <c r="B251" s="9" t="s">
        <v>19</v>
      </c>
      <c r="C251" s="2" t="s">
        <v>1444</v>
      </c>
      <c r="D251" s="2" t="s">
        <v>1445</v>
      </c>
      <c r="E251" s="2" t="s">
        <v>1446</v>
      </c>
      <c r="F251" s="2" t="s">
        <v>1447</v>
      </c>
      <c r="G251" s="2" t="s">
        <v>1448</v>
      </c>
      <c r="H251" s="2" t="s">
        <v>90</v>
      </c>
      <c r="J251" s="10" t="s">
        <v>18</v>
      </c>
    </row>
    <row r="252" spans="1:10" x14ac:dyDescent="0.25">
      <c r="A252" s="9" t="s">
        <v>1507</v>
      </c>
      <c r="B252" s="9" t="s">
        <v>20</v>
      </c>
      <c r="C252" s="2" t="s">
        <v>1449</v>
      </c>
      <c r="D252" s="2" t="s">
        <v>1450</v>
      </c>
      <c r="E252" s="2" t="s">
        <v>1451</v>
      </c>
      <c r="F252" s="2" t="s">
        <v>1452</v>
      </c>
      <c r="G252" s="2" t="s">
        <v>90</v>
      </c>
      <c r="H252" s="2" t="s">
        <v>1453</v>
      </c>
      <c r="J252" s="10" t="s">
        <v>14</v>
      </c>
    </row>
    <row r="253" spans="1:10" x14ac:dyDescent="0.25">
      <c r="A253" s="9" t="s">
        <v>1507</v>
      </c>
      <c r="B253" s="9" t="s">
        <v>22</v>
      </c>
      <c r="C253" s="2" t="s">
        <v>1454</v>
      </c>
      <c r="D253" s="2" t="s">
        <v>1455</v>
      </c>
      <c r="E253" s="2" t="s">
        <v>1456</v>
      </c>
      <c r="F253" s="2" t="s">
        <v>1457</v>
      </c>
      <c r="G253" s="2" t="s">
        <v>1458</v>
      </c>
      <c r="H253" s="2" t="s">
        <v>90</v>
      </c>
      <c r="J253" s="10" t="s">
        <v>12</v>
      </c>
    </row>
    <row r="254" spans="1:10" x14ac:dyDescent="0.25">
      <c r="A254" s="9" t="s">
        <v>1507</v>
      </c>
      <c r="B254" s="9" t="s">
        <v>24</v>
      </c>
      <c r="C254" s="2" t="s">
        <v>1459</v>
      </c>
      <c r="D254" s="2" t="s">
        <v>1460</v>
      </c>
      <c r="E254" s="2" t="s">
        <v>1461</v>
      </c>
      <c r="F254" s="2" t="s">
        <v>1462</v>
      </c>
      <c r="G254" s="2" t="s">
        <v>376</v>
      </c>
      <c r="H254" s="2" t="s">
        <v>1463</v>
      </c>
      <c r="J254" s="10" t="s">
        <v>12</v>
      </c>
    </row>
    <row r="255" spans="1:10" x14ac:dyDescent="0.25">
      <c r="A255" s="9" t="s">
        <v>1507</v>
      </c>
      <c r="B255" s="9" t="s">
        <v>25</v>
      </c>
      <c r="C255" s="2" t="s">
        <v>1464</v>
      </c>
      <c r="D255" s="2" t="s">
        <v>90</v>
      </c>
      <c r="E255" s="2" t="s">
        <v>1465</v>
      </c>
      <c r="F255" s="2" t="s">
        <v>1466</v>
      </c>
      <c r="G255" s="2" t="s">
        <v>1467</v>
      </c>
      <c r="H255" s="2" t="s">
        <v>1468</v>
      </c>
      <c r="J255" s="10" t="s">
        <v>18</v>
      </c>
    </row>
    <row r="256" spans="1:10" x14ac:dyDescent="0.25">
      <c r="A256" s="9" t="s">
        <v>1507</v>
      </c>
      <c r="B256" s="9" t="s">
        <v>26</v>
      </c>
      <c r="C256" s="2" t="s">
        <v>1469</v>
      </c>
      <c r="D256" s="2" t="s">
        <v>1470</v>
      </c>
      <c r="E256" s="2" t="s">
        <v>1471</v>
      </c>
      <c r="F256" s="2" t="s">
        <v>90</v>
      </c>
      <c r="G256" s="2" t="s">
        <v>1472</v>
      </c>
      <c r="H256" s="2" t="s">
        <v>1473</v>
      </c>
      <c r="J256" s="10" t="s">
        <v>12</v>
      </c>
    </row>
    <row r="257" spans="1:10" x14ac:dyDescent="0.25">
      <c r="A257" s="9" t="s">
        <v>1507</v>
      </c>
      <c r="B257" s="9" t="s">
        <v>27</v>
      </c>
      <c r="C257" s="2" t="s">
        <v>1474</v>
      </c>
      <c r="D257" s="2" t="s">
        <v>1475</v>
      </c>
      <c r="E257" s="2" t="s">
        <v>1476</v>
      </c>
      <c r="F257" s="2" t="s">
        <v>1477</v>
      </c>
      <c r="G257" s="2" t="s">
        <v>1478</v>
      </c>
      <c r="H257" s="2" t="s">
        <v>90</v>
      </c>
      <c r="J257" s="10" t="s">
        <v>18</v>
      </c>
    </row>
    <row r="258" spans="1:10" x14ac:dyDescent="0.25">
      <c r="A258" s="9" t="s">
        <v>1507</v>
      </c>
      <c r="B258" s="9" t="s">
        <v>28</v>
      </c>
      <c r="C258" s="2" t="s">
        <v>1479</v>
      </c>
      <c r="D258" s="2" t="s">
        <v>1480</v>
      </c>
      <c r="E258" s="2" t="s">
        <v>1481</v>
      </c>
      <c r="F258" s="2" t="s">
        <v>1482</v>
      </c>
      <c r="G258" s="2" t="s">
        <v>1483</v>
      </c>
      <c r="H258" s="2" t="s">
        <v>90</v>
      </c>
      <c r="J258" s="10" t="s">
        <v>21</v>
      </c>
    </row>
    <row r="259" spans="1:10" x14ac:dyDescent="0.25">
      <c r="A259" s="9" t="s">
        <v>1507</v>
      </c>
      <c r="B259" s="9" t="s">
        <v>29</v>
      </c>
      <c r="C259" s="2" t="s">
        <v>1484</v>
      </c>
      <c r="D259" s="2" t="s">
        <v>1485</v>
      </c>
      <c r="E259" s="2" t="s">
        <v>1486</v>
      </c>
      <c r="F259" s="2" t="s">
        <v>1487</v>
      </c>
      <c r="G259" s="2" t="s">
        <v>1488</v>
      </c>
      <c r="H259" s="2" t="s">
        <v>90</v>
      </c>
      <c r="J259" s="10" t="s">
        <v>14</v>
      </c>
    </row>
    <row r="260" spans="1:10" x14ac:dyDescent="0.25">
      <c r="A260" s="9" t="s">
        <v>1507</v>
      </c>
      <c r="B260" s="9" t="s">
        <v>30</v>
      </c>
      <c r="C260" s="2" t="s">
        <v>1489</v>
      </c>
      <c r="D260" s="2" t="s">
        <v>1490</v>
      </c>
      <c r="E260" s="2" t="s">
        <v>1491</v>
      </c>
      <c r="F260" s="2" t="s">
        <v>1492</v>
      </c>
      <c r="G260" s="2" t="s">
        <v>1493</v>
      </c>
      <c r="H260" s="2" t="s">
        <v>90</v>
      </c>
      <c r="J260" s="10" t="s">
        <v>12</v>
      </c>
    </row>
    <row r="261" spans="1:10" x14ac:dyDescent="0.25">
      <c r="A261" s="9" t="s">
        <v>1507</v>
      </c>
      <c r="B261" s="20" t="s">
        <v>31</v>
      </c>
      <c r="C261" s="2" t="s">
        <v>1509</v>
      </c>
      <c r="D261" s="2" t="s">
        <v>124</v>
      </c>
      <c r="E261" s="2" t="s">
        <v>125</v>
      </c>
      <c r="F261" s="2" t="s">
        <v>126</v>
      </c>
      <c r="G261" s="2" t="s">
        <v>127</v>
      </c>
      <c r="H261" s="2" t="s">
        <v>128</v>
      </c>
      <c r="I261" s="2" t="s">
        <v>90</v>
      </c>
      <c r="J261" s="10" t="s">
        <v>12</v>
      </c>
    </row>
    <row r="262" spans="1:10" x14ac:dyDescent="0.25">
      <c r="A262" s="9" t="s">
        <v>1508</v>
      </c>
      <c r="B262" s="20" t="s">
        <v>11</v>
      </c>
      <c r="C262" s="2" t="s">
        <v>1510</v>
      </c>
      <c r="D262" s="2" t="s">
        <v>133</v>
      </c>
      <c r="E262" s="2" t="s">
        <v>134</v>
      </c>
      <c r="F262" s="2" t="s">
        <v>135</v>
      </c>
      <c r="G262" s="2" t="s">
        <v>136</v>
      </c>
      <c r="H262" s="2" t="s">
        <v>90</v>
      </c>
      <c r="I262" s="2" t="s">
        <v>119</v>
      </c>
      <c r="J262" s="10" t="s">
        <v>18</v>
      </c>
    </row>
    <row r="263" spans="1:10" x14ac:dyDescent="0.25">
      <c r="A263" s="9" t="s">
        <v>1508</v>
      </c>
      <c r="B263" s="20" t="s">
        <v>13</v>
      </c>
      <c r="C263" s="2" t="s">
        <v>1511</v>
      </c>
      <c r="D263" s="2" t="s">
        <v>141</v>
      </c>
      <c r="E263" s="2" t="s">
        <v>142</v>
      </c>
      <c r="F263" s="2" t="s">
        <v>143</v>
      </c>
      <c r="G263" s="2" t="s">
        <v>144</v>
      </c>
      <c r="H263" s="2" t="s">
        <v>90</v>
      </c>
      <c r="I263" s="2" t="s">
        <v>119</v>
      </c>
      <c r="J263" s="10" t="s">
        <v>21</v>
      </c>
    </row>
    <row r="264" spans="1:10" x14ac:dyDescent="0.25">
      <c r="A264" s="9" t="s">
        <v>1508</v>
      </c>
      <c r="B264" s="20" t="s">
        <v>15</v>
      </c>
      <c r="C264" s="2" t="s">
        <v>1512</v>
      </c>
      <c r="D264" s="2" t="s">
        <v>185</v>
      </c>
      <c r="E264" s="2" t="s">
        <v>186</v>
      </c>
      <c r="F264" s="2" t="s">
        <v>187</v>
      </c>
      <c r="G264" s="2" t="s">
        <v>188</v>
      </c>
      <c r="H264" s="2" t="s">
        <v>90</v>
      </c>
      <c r="I264" s="2" t="s">
        <v>119</v>
      </c>
      <c r="J264" s="10" t="s">
        <v>18</v>
      </c>
    </row>
    <row r="265" spans="1:10" x14ac:dyDescent="0.25">
      <c r="A265" s="9" t="s">
        <v>1508</v>
      </c>
      <c r="B265" s="20" t="s">
        <v>16</v>
      </c>
      <c r="C265" s="2" t="s">
        <v>1513</v>
      </c>
      <c r="D265" s="2" t="s">
        <v>280</v>
      </c>
      <c r="E265" s="2" t="s">
        <v>281</v>
      </c>
      <c r="F265" s="2" t="s">
        <v>282</v>
      </c>
      <c r="G265" s="2" t="s">
        <v>283</v>
      </c>
      <c r="H265" s="2" t="s">
        <v>90</v>
      </c>
      <c r="J265" s="10" t="s">
        <v>18</v>
      </c>
    </row>
    <row r="266" spans="1:10" x14ac:dyDescent="0.25">
      <c r="A266" s="9" t="s">
        <v>1508</v>
      </c>
      <c r="B266" s="20" t="s">
        <v>17</v>
      </c>
      <c r="C266" s="2" t="s">
        <v>1514</v>
      </c>
      <c r="D266" s="2" t="s">
        <v>347</v>
      </c>
      <c r="E266" s="2" t="s">
        <v>348</v>
      </c>
      <c r="F266" s="2" t="s">
        <v>349</v>
      </c>
      <c r="G266" s="2" t="s">
        <v>350</v>
      </c>
      <c r="H266" s="2" t="s">
        <v>90</v>
      </c>
      <c r="J266" s="10" t="s">
        <v>21</v>
      </c>
    </row>
    <row r="267" spans="1:10" x14ac:dyDescent="0.25">
      <c r="A267" s="9" t="s">
        <v>1508</v>
      </c>
      <c r="B267" s="20" t="s">
        <v>19</v>
      </c>
      <c r="C267" s="2" t="s">
        <v>1515</v>
      </c>
      <c r="D267" s="2" t="s">
        <v>352</v>
      </c>
      <c r="E267" s="2" t="s">
        <v>348</v>
      </c>
      <c r="F267" s="2" t="s">
        <v>349</v>
      </c>
      <c r="G267" s="2" t="s">
        <v>353</v>
      </c>
      <c r="H267" s="2" t="s">
        <v>90</v>
      </c>
      <c r="J267" s="10" t="s">
        <v>14</v>
      </c>
    </row>
    <row r="268" spans="1:10" x14ac:dyDescent="0.25">
      <c r="A268" s="9" t="s">
        <v>1508</v>
      </c>
      <c r="B268" s="20" t="s">
        <v>20</v>
      </c>
      <c r="C268" s="2" t="s">
        <v>1516</v>
      </c>
      <c r="D268" s="2" t="s">
        <v>673</v>
      </c>
      <c r="E268" s="2" t="s">
        <v>674</v>
      </c>
      <c r="F268" s="2" t="s">
        <v>675</v>
      </c>
      <c r="G268" s="2" t="s">
        <v>676</v>
      </c>
      <c r="H268" s="2" t="s">
        <v>709</v>
      </c>
      <c r="J268" s="10" t="s">
        <v>23</v>
      </c>
    </row>
    <row r="269" spans="1:10" x14ac:dyDescent="0.25">
      <c r="A269" s="9" t="s">
        <v>1508</v>
      </c>
      <c r="B269" s="20" t="s">
        <v>22</v>
      </c>
      <c r="C269" s="2" t="s">
        <v>1517</v>
      </c>
      <c r="D269" s="2" t="s">
        <v>723</v>
      </c>
      <c r="E269" s="2" t="s">
        <v>724</v>
      </c>
      <c r="F269" s="2" t="s">
        <v>725</v>
      </c>
      <c r="G269" s="2" t="s">
        <v>726</v>
      </c>
      <c r="H269" s="2" t="s">
        <v>90</v>
      </c>
      <c r="J269" s="10" t="s">
        <v>21</v>
      </c>
    </row>
    <row r="270" spans="1:10" x14ac:dyDescent="0.25">
      <c r="A270" s="9" t="s">
        <v>1508</v>
      </c>
      <c r="B270" s="20" t="s">
        <v>24</v>
      </c>
      <c r="C270" s="2" t="s">
        <v>1518</v>
      </c>
      <c r="D270" s="2" t="s">
        <v>738</v>
      </c>
      <c r="E270" s="2" t="s">
        <v>739</v>
      </c>
      <c r="F270" s="2" t="s">
        <v>740</v>
      </c>
      <c r="G270" s="2" t="s">
        <v>741</v>
      </c>
      <c r="H270" s="2" t="s">
        <v>90</v>
      </c>
      <c r="J270" s="10" t="s">
        <v>12</v>
      </c>
    </row>
    <row r="271" spans="1:10" x14ac:dyDescent="0.25">
      <c r="A271" s="9" t="s">
        <v>1508</v>
      </c>
      <c r="B271" s="20" t="s">
        <v>25</v>
      </c>
      <c r="C271" s="2" t="s">
        <v>1519</v>
      </c>
      <c r="D271" s="2" t="s">
        <v>743</v>
      </c>
      <c r="E271" s="2" t="s">
        <v>744</v>
      </c>
      <c r="F271" s="2" t="s">
        <v>745</v>
      </c>
      <c r="G271" s="2" t="s">
        <v>746</v>
      </c>
      <c r="H271" s="2" t="s">
        <v>90</v>
      </c>
      <c r="J271" s="10" t="s">
        <v>21</v>
      </c>
    </row>
    <row r="272" spans="1:10" x14ac:dyDescent="0.25">
      <c r="A272" s="9" t="s">
        <v>1508</v>
      </c>
      <c r="B272" s="20" t="s">
        <v>26</v>
      </c>
      <c r="C272" s="2" t="s">
        <v>1520</v>
      </c>
      <c r="D272" s="2" t="s">
        <v>784</v>
      </c>
      <c r="E272" s="2" t="s">
        <v>785</v>
      </c>
      <c r="F272" s="2" t="s">
        <v>786</v>
      </c>
      <c r="G272" s="2" t="s">
        <v>787</v>
      </c>
      <c r="H272" s="2" t="s">
        <v>90</v>
      </c>
      <c r="J272" s="10" t="s">
        <v>21</v>
      </c>
    </row>
    <row r="273" spans="1:10" x14ac:dyDescent="0.25">
      <c r="A273" s="9" t="s">
        <v>1508</v>
      </c>
      <c r="B273" s="20" t="s">
        <v>27</v>
      </c>
      <c r="C273" s="2" t="s">
        <v>1521</v>
      </c>
      <c r="D273" s="2" t="s">
        <v>809</v>
      </c>
      <c r="E273" s="2" t="s">
        <v>810</v>
      </c>
      <c r="F273" s="2" t="s">
        <v>811</v>
      </c>
      <c r="G273" s="2" t="s">
        <v>812</v>
      </c>
      <c r="H273" s="2" t="s">
        <v>90</v>
      </c>
      <c r="J273" s="10" t="s">
        <v>18</v>
      </c>
    </row>
    <row r="274" spans="1:10" x14ac:dyDescent="0.25">
      <c r="A274" s="9" t="s">
        <v>1508</v>
      </c>
      <c r="B274" s="20" t="s">
        <v>28</v>
      </c>
      <c r="C274" s="2" t="s">
        <v>1522</v>
      </c>
      <c r="D274" s="2" t="s">
        <v>814</v>
      </c>
      <c r="E274" s="2" t="s">
        <v>815</v>
      </c>
      <c r="F274" s="2" t="s">
        <v>816</v>
      </c>
      <c r="G274" s="2" t="s">
        <v>817</v>
      </c>
      <c r="H274" s="2" t="s">
        <v>90</v>
      </c>
      <c r="J274" s="10" t="s">
        <v>18</v>
      </c>
    </row>
    <row r="275" spans="1:10" x14ac:dyDescent="0.25">
      <c r="A275" s="9" t="s">
        <v>1508</v>
      </c>
      <c r="B275" s="20" t="s">
        <v>29</v>
      </c>
      <c r="C275" s="2" t="s">
        <v>1523</v>
      </c>
      <c r="D275" s="2" t="s">
        <v>834</v>
      </c>
      <c r="E275" s="2" t="s">
        <v>835</v>
      </c>
      <c r="F275" s="2" t="s">
        <v>836</v>
      </c>
      <c r="G275" s="2" t="s">
        <v>837</v>
      </c>
      <c r="H275" s="2" t="s">
        <v>90</v>
      </c>
      <c r="J275" s="10" t="s">
        <v>21</v>
      </c>
    </row>
    <row r="276" spans="1:10" x14ac:dyDescent="0.25">
      <c r="A276" s="9" t="s">
        <v>1508</v>
      </c>
      <c r="B276" s="20" t="s">
        <v>30</v>
      </c>
      <c r="C276" s="2" t="s">
        <v>1524</v>
      </c>
      <c r="D276" s="2" t="s">
        <v>1075</v>
      </c>
      <c r="E276" s="2" t="s">
        <v>1076</v>
      </c>
      <c r="F276" s="2" t="s">
        <v>1077</v>
      </c>
      <c r="G276" s="2" t="s">
        <v>540</v>
      </c>
      <c r="J276" s="10" t="s">
        <v>21</v>
      </c>
    </row>
    <row r="277" spans="1:10" x14ac:dyDescent="0.25">
      <c r="A277" s="9" t="s">
        <v>1508</v>
      </c>
      <c r="B277" s="20" t="s">
        <v>31</v>
      </c>
      <c r="C277" s="2" t="s">
        <v>1525</v>
      </c>
      <c r="D277" s="2" t="s">
        <v>963</v>
      </c>
      <c r="E277" s="2" t="s">
        <v>1101</v>
      </c>
      <c r="F277" s="2" t="s">
        <v>1102</v>
      </c>
      <c r="G277" s="2" t="s">
        <v>1103</v>
      </c>
      <c r="H277" s="2" t="s">
        <v>540</v>
      </c>
      <c r="J277" s="10" t="s">
        <v>14</v>
      </c>
    </row>
    <row r="278" spans="1:10" x14ac:dyDescent="0.25">
      <c r="A278" s="9" t="s">
        <v>1508</v>
      </c>
      <c r="B278" s="20" t="s">
        <v>32</v>
      </c>
      <c r="C278" s="2" t="s">
        <v>1526</v>
      </c>
      <c r="D278" s="2" t="s">
        <v>1131</v>
      </c>
      <c r="E278" s="2" t="s">
        <v>1132</v>
      </c>
      <c r="F278" s="2" t="s">
        <v>1133</v>
      </c>
      <c r="G278" s="2" t="s">
        <v>1134</v>
      </c>
      <c r="J278" s="10" t="s">
        <v>21</v>
      </c>
    </row>
    <row r="279" spans="1:10" x14ac:dyDescent="0.25">
      <c r="A279" s="9" t="s">
        <v>1508</v>
      </c>
      <c r="B279" s="20" t="s">
        <v>33</v>
      </c>
      <c r="C279" s="2" t="s">
        <v>1527</v>
      </c>
      <c r="D279" s="2" t="s">
        <v>1141</v>
      </c>
      <c r="E279" s="2" t="s">
        <v>1142</v>
      </c>
      <c r="F279" s="2" t="s">
        <v>1143</v>
      </c>
      <c r="G279" s="2" t="s">
        <v>1144</v>
      </c>
      <c r="H279" s="2" t="s">
        <v>540</v>
      </c>
      <c r="J279" s="10" t="s">
        <v>18</v>
      </c>
    </row>
    <row r="280" spans="1:10" x14ac:dyDescent="0.25">
      <c r="A280" s="9" t="s">
        <v>1508</v>
      </c>
      <c r="B280" s="20" t="s">
        <v>34</v>
      </c>
      <c r="C280" s="2" t="s">
        <v>1528</v>
      </c>
      <c r="D280" s="2" t="s">
        <v>1156</v>
      </c>
      <c r="E280" s="2" t="s">
        <v>1157</v>
      </c>
      <c r="F280" s="2" t="s">
        <v>1158</v>
      </c>
      <c r="G280" s="2" t="s">
        <v>540</v>
      </c>
      <c r="J280" s="10" t="s">
        <v>14</v>
      </c>
    </row>
    <row r="281" spans="1:10" x14ac:dyDescent="0.25">
      <c r="A281" s="9" t="s">
        <v>1508</v>
      </c>
      <c r="B281" s="20" t="s">
        <v>35</v>
      </c>
      <c r="C281" s="2" t="s">
        <v>1529</v>
      </c>
      <c r="D281" s="2" t="s">
        <v>1160</v>
      </c>
      <c r="E281" s="2" t="s">
        <v>1161</v>
      </c>
      <c r="F281" s="2" t="s">
        <v>1162</v>
      </c>
      <c r="G281" s="2" t="s">
        <v>540</v>
      </c>
      <c r="J281" s="10" t="s">
        <v>21</v>
      </c>
    </row>
  </sheetData>
  <autoFilter ref="A1:J281" xr:uid="{00000000-0001-0000-0000-000000000000}"/>
  <phoneticPr fontId="9" type="noConversion"/>
  <conditionalFormatting sqref="D1:D1048576">
    <cfRule type="expression" dxfId="6" priority="6">
      <formula>$J1="A"</formula>
    </cfRule>
  </conditionalFormatting>
  <conditionalFormatting sqref="E1:E1048576">
    <cfRule type="expression" dxfId="5" priority="5">
      <formula>$J1="B"</formula>
    </cfRule>
  </conditionalFormatting>
  <conditionalFormatting sqref="F1:F1048576">
    <cfRule type="expression" dxfId="4" priority="4">
      <formula>$J1="C"</formula>
    </cfRule>
  </conditionalFormatting>
  <conditionalFormatting sqref="G1:G1048576">
    <cfRule type="expression" dxfId="3" priority="3">
      <formula>$J1="D"</formula>
    </cfRule>
  </conditionalFormatting>
  <conditionalFormatting sqref="H1:H1048576">
    <cfRule type="expression" dxfId="2" priority="2">
      <formula>$J1="E"</formula>
    </cfRule>
  </conditionalFormatting>
  <conditionalFormatting sqref="I1:I1048576">
    <cfRule type="expression" dxfId="1" priority="1">
      <formula>$J1="F"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EFAA-EF75-46AB-9449-DE504B7E1DE0}">
  <sheetPr>
    <tabColor rgb="FF00B0F0"/>
    <outlinePr summaryBelow="0" summaryRight="0"/>
  </sheetPr>
  <dimension ref="A1:B1001"/>
  <sheetViews>
    <sheetView workbookViewId="0">
      <selection activeCell="A21" sqref="A21"/>
    </sheetView>
  </sheetViews>
  <sheetFormatPr baseColWidth="10" defaultColWidth="14.42578125" defaultRowHeight="15" customHeight="1" x14ac:dyDescent="0.25"/>
  <cols>
    <col min="1" max="1" width="9.140625" style="4" customWidth="1"/>
    <col min="2" max="6" width="14.42578125" style="4" customWidth="1"/>
    <col min="7" max="16384" width="14.42578125" style="4"/>
  </cols>
  <sheetData>
    <row r="1" spans="1:2" x14ac:dyDescent="0.25">
      <c r="A1" s="3" t="s">
        <v>0</v>
      </c>
      <c r="B1" s="3" t="s">
        <v>240</v>
      </c>
    </row>
    <row r="2" spans="1:2" ht="16.5" x14ac:dyDescent="0.25">
      <c r="A2" s="5" t="s">
        <v>241</v>
      </c>
      <c r="B2" s="5" t="s">
        <v>242</v>
      </c>
    </row>
    <row r="3" spans="1:2" ht="16.5" x14ac:dyDescent="0.25">
      <c r="A3" s="5" t="s">
        <v>10</v>
      </c>
      <c r="B3" s="5" t="s">
        <v>243</v>
      </c>
    </row>
    <row r="4" spans="1:2" ht="16.5" x14ac:dyDescent="0.25">
      <c r="A4" s="5" t="s">
        <v>244</v>
      </c>
      <c r="B4" s="5" t="s">
        <v>245</v>
      </c>
    </row>
    <row r="5" spans="1:2" ht="16.5" x14ac:dyDescent="0.25">
      <c r="A5" s="5" t="s">
        <v>246</v>
      </c>
      <c r="B5" s="5" t="s">
        <v>247</v>
      </c>
    </row>
    <row r="6" spans="1:2" ht="16.5" x14ac:dyDescent="0.25">
      <c r="A6" s="5" t="s">
        <v>1503</v>
      </c>
      <c r="B6" s="5" t="s">
        <v>248</v>
      </c>
    </row>
    <row r="7" spans="1:2" ht="16.5" x14ac:dyDescent="0.25">
      <c r="A7" s="5" t="s">
        <v>1504</v>
      </c>
      <c r="B7" s="5" t="s">
        <v>248</v>
      </c>
    </row>
    <row r="8" spans="1:2" ht="16.5" x14ac:dyDescent="0.25">
      <c r="A8" s="5" t="s">
        <v>249</v>
      </c>
      <c r="B8" s="5" t="s">
        <v>250</v>
      </c>
    </row>
    <row r="9" spans="1:2" ht="16.5" x14ac:dyDescent="0.25">
      <c r="A9" s="5" t="s">
        <v>251</v>
      </c>
      <c r="B9" s="5" t="s">
        <v>252</v>
      </c>
    </row>
    <row r="10" spans="1:2" ht="16.5" x14ac:dyDescent="0.25">
      <c r="A10" s="5" t="s">
        <v>253</v>
      </c>
      <c r="B10" s="5" t="s">
        <v>254</v>
      </c>
    </row>
    <row r="11" spans="1:2" ht="16.5" x14ac:dyDescent="0.25">
      <c r="A11" s="5" t="s">
        <v>255</v>
      </c>
      <c r="B11" s="5" t="s">
        <v>256</v>
      </c>
    </row>
    <row r="12" spans="1:2" ht="16.5" x14ac:dyDescent="0.25">
      <c r="A12" s="5" t="s">
        <v>257</v>
      </c>
      <c r="B12" s="5" t="s">
        <v>258</v>
      </c>
    </row>
    <row r="13" spans="1:2" ht="16.5" x14ac:dyDescent="0.25">
      <c r="A13" s="5" t="s">
        <v>259</v>
      </c>
      <c r="B13" s="5" t="s">
        <v>260</v>
      </c>
    </row>
    <row r="14" spans="1:2" ht="16.5" x14ac:dyDescent="0.25">
      <c r="A14" s="5" t="s">
        <v>261</v>
      </c>
      <c r="B14" s="5" t="s">
        <v>262</v>
      </c>
    </row>
    <row r="15" spans="1:2" ht="16.5" x14ac:dyDescent="0.25">
      <c r="A15" s="5" t="s">
        <v>263</v>
      </c>
      <c r="B15" s="5" t="s">
        <v>264</v>
      </c>
    </row>
    <row r="16" spans="1:2" ht="16.5" x14ac:dyDescent="0.25">
      <c r="A16" s="5" t="s">
        <v>265</v>
      </c>
      <c r="B16" s="5" t="s">
        <v>266</v>
      </c>
    </row>
    <row r="17" spans="1:2" ht="16.5" x14ac:dyDescent="0.25">
      <c r="A17" s="5" t="s">
        <v>267</v>
      </c>
      <c r="B17" s="5" t="s">
        <v>268</v>
      </c>
    </row>
    <row r="18" spans="1:2" ht="15" customHeight="1" x14ac:dyDescent="0.25">
      <c r="A18" s="19" t="s">
        <v>1505</v>
      </c>
      <c r="B18" s="19" t="s">
        <v>1494</v>
      </c>
    </row>
    <row r="19" spans="1:2" ht="15" customHeight="1" x14ac:dyDescent="0.25">
      <c r="A19" s="19" t="s">
        <v>1506</v>
      </c>
      <c r="B19" s="19" t="s">
        <v>1494</v>
      </c>
    </row>
    <row r="20" spans="1:2" ht="15" customHeight="1" x14ac:dyDescent="0.25">
      <c r="A20" s="19" t="s">
        <v>1507</v>
      </c>
      <c r="B20" s="19" t="s">
        <v>1494</v>
      </c>
    </row>
    <row r="21" spans="1:2" ht="15" customHeight="1" x14ac:dyDescent="0.25">
      <c r="A21" s="19" t="s">
        <v>1508</v>
      </c>
      <c r="B21" s="19" t="s">
        <v>1494</v>
      </c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2157-25E0-434E-AB6B-01FE38A60B37}">
  <dimension ref="A1:J214"/>
  <sheetViews>
    <sheetView topLeftCell="A210" workbookViewId="0">
      <selection activeCell="D160" sqref="D160:J214"/>
    </sheetView>
  </sheetViews>
  <sheetFormatPr baseColWidth="10" defaultRowHeight="15" x14ac:dyDescent="0.25"/>
  <cols>
    <col min="1" max="1" width="34.140625" customWidth="1"/>
    <col min="2" max="2" width="11.42578125" style="17"/>
    <col min="3" max="3" width="33.140625" style="17" customWidth="1"/>
  </cols>
  <sheetData>
    <row r="1" spans="1:9" x14ac:dyDescent="0.25">
      <c r="A1" s="6" t="s">
        <v>269</v>
      </c>
      <c r="B1" s="17">
        <f t="shared" ref="B1:B10" si="0">FIND(" - ",A1)</f>
        <v>2</v>
      </c>
      <c r="C1" s="17" t="str">
        <f t="shared" ref="C1:C10" si="1">RIGHT(A1, LEN(A1)-(B1+2))</f>
        <v>Quels sont les 4 comportements pouvant être adoptés théoriquement lors d’un conflit ?|Fuite - Assertivité - Contrainte - Manipulation|Assertivité - Arrogance - Manipulation - Agressivité|Agressivité - Assertivité - Fuite - Manipulation|Agressivité - Fuite - Manipulation - Monologue|Aucune des autres réponses</v>
      </c>
      <c r="D1" t="str" cm="1">
        <f t="array" ref="D1:I1">_xlfn.TEXTSPLIT(C1,"|")</f>
        <v>Quels sont les 4 comportements pouvant être adoptés théoriquement lors d’un conflit ?</v>
      </c>
      <c r="E1" t="str">
        <v>Fuite - Assertivité - Contrainte - Manipulation</v>
      </c>
      <c r="F1" t="str">
        <v>Assertivité - Arrogance - Manipulation - Agressivité</v>
      </c>
      <c r="G1" t="str">
        <v>Agressivité - Assertivité - Fuite - Manipulation</v>
      </c>
      <c r="H1" t="str">
        <v>Agressivité - Fuite - Manipulation - Monologue</v>
      </c>
      <c r="I1" t="str">
        <v>Aucune des autres réponses</v>
      </c>
    </row>
    <row r="2" spans="1:9" x14ac:dyDescent="0.25">
      <c r="A2" s="6" t="s">
        <v>270</v>
      </c>
      <c r="B2" s="17">
        <f t="shared" si="0"/>
        <v>2</v>
      </c>
      <c r="C2" s="17" t="str">
        <f t="shared" si="1"/>
        <v>Quelles sont les précautions à prendre lorsqu’on aborde une personne susceptible de générer un conflit ?|Rester à une dizaine de mètres pour ne pas s’exposer|Garder une distance raisonnable de sécurité|Se munir d’un moyen de défense|S’approcher au plus près pour rassurer la personne|Aucune des autres réponses</v>
      </c>
      <c r="D2" t="str" cm="1">
        <f t="array" ref="D2:I2">_xlfn.TEXTSPLIT(C2,"|")</f>
        <v>Quelles sont les précautions à prendre lorsqu’on aborde une personne susceptible de générer un conflit ?</v>
      </c>
      <c r="E2" t="str">
        <v>Rester à une dizaine de mètres pour ne pas s’exposer</v>
      </c>
      <c r="F2" t="str">
        <v>Garder une distance raisonnable de sécurité</v>
      </c>
      <c r="G2" t="str">
        <v>Se munir d’un moyen de défense</v>
      </c>
      <c r="H2" t="str">
        <v>S’approcher au plus près pour rassurer la personne</v>
      </c>
      <c r="I2" t="str">
        <v>Aucune des autres réponses</v>
      </c>
    </row>
    <row r="3" spans="1:9" x14ac:dyDescent="0.25">
      <c r="A3" s="6" t="s">
        <v>271</v>
      </c>
      <c r="B3" s="17">
        <f t="shared" si="0"/>
        <v>2</v>
      </c>
      <c r="C3" s="17" t="str">
        <f t="shared" si="1"/>
        <v>Quelles sont les méthodes de réaction aux attaques verbales, menaces et intimidation ?|Répondre sur le même ton - faire du Karaté|Ignorer la personne - Continuer de faire son travail|Répondre sur le même ton - Appeler la police|Garder son calme - Pratiquer le judo verbal pour retourner la situation|Aucune des autres réponses</v>
      </c>
      <c r="D3" t="str" cm="1">
        <f t="array" ref="D3:I3">_xlfn.TEXTSPLIT(C3,"|")</f>
        <v>Quelles sont les méthodes de réaction aux attaques verbales, menaces et intimidation ?</v>
      </c>
      <c r="E3" t="str">
        <v>Répondre sur le même ton - faire du Karaté</v>
      </c>
      <c r="F3" t="str">
        <v>Ignorer la personne - Continuer de faire son travail</v>
      </c>
      <c r="G3" t="str">
        <v>Répondre sur le même ton - Appeler la police</v>
      </c>
      <c r="H3" t="str">
        <v>Garder son calme - Pratiquer le judo verbal pour retourner la situation</v>
      </c>
      <c r="I3" t="str">
        <v>Aucune des autres réponses</v>
      </c>
    </row>
    <row r="4" spans="1:9" x14ac:dyDescent="0.25">
      <c r="A4" s="6" t="s">
        <v>272</v>
      </c>
      <c r="B4" s="17">
        <f t="shared" si="0"/>
        <v>2</v>
      </c>
      <c r="C4" s="17" t="str">
        <f t="shared" si="1"/>
        <v>Quel type de personne peut être plus générateur de conflit ?|Une personne insatisfaite|Une personne timide|Une personne bavarde|Une personne ne parlant pas le français|Aucune des autres réponses</v>
      </c>
      <c r="D4" t="str" cm="1">
        <f t="array" ref="D4:I4">_xlfn.TEXTSPLIT(C4,"|")</f>
        <v>Quel type de personne peut être plus générateur de conflit ?</v>
      </c>
      <c r="E4" t="str">
        <v>Une personne insatisfaite</v>
      </c>
      <c r="F4" t="str">
        <v>Une personne timide</v>
      </c>
      <c r="G4" t="str">
        <v>Une personne bavarde</v>
      </c>
      <c r="H4" t="str">
        <v>Une personne ne parlant pas le français</v>
      </c>
      <c r="I4" t="str">
        <v>Aucune des autres réponses</v>
      </c>
    </row>
    <row r="5" spans="1:9" x14ac:dyDescent="0.25">
      <c r="A5" s="6" t="s">
        <v>273</v>
      </c>
      <c r="B5" s="17">
        <f t="shared" si="0"/>
        <v>2</v>
      </c>
      <c r="C5" s="17" t="str">
        <f t="shared" si="1"/>
        <v>A l’entrée d’un centre commercial, un client vient se plaindre auprès de vous d’un article acheté, qu’il juge défectueux. Que faites-vous ?|Vous lui proposez de faire l’échange vous-même|Vous prenez le temps d’écouter et le dirigez vers le service après-vente|Vous refusez de le renseigner|Vous lui proposez vos services, après votre vacation, car vous connaissez bien les défauts de cet article|Aucune des autres réponses</v>
      </c>
      <c r="D5" t="str" cm="1">
        <f t="array" ref="D5:I5">_xlfn.TEXTSPLIT(C5,"|")</f>
        <v>A l’entrée d’un centre commercial, un client vient se plaindre auprès de vous d’un article acheté, qu’il juge défectueux. Que faites-vous ?</v>
      </c>
      <c r="E5" t="str">
        <v>Vous lui proposez de faire l’échange vous-même</v>
      </c>
      <c r="F5" t="str">
        <v>Vous prenez le temps d’écouter et le dirigez vers le service après-vente</v>
      </c>
      <c r="G5" t="str">
        <v>Vous refusez de le renseigner</v>
      </c>
      <c r="H5" t="str">
        <v>Vous lui proposez vos services, après votre vacation, car vous connaissez bien les défauts de cet article</v>
      </c>
      <c r="I5" t="str">
        <v>Aucune des autres réponses</v>
      </c>
    </row>
    <row r="6" spans="1:9" x14ac:dyDescent="0.25">
      <c r="A6" s="6" t="s">
        <v>274</v>
      </c>
      <c r="B6" s="17">
        <f t="shared" si="0"/>
        <v>2</v>
      </c>
      <c r="C6" s="17" t="str">
        <f t="shared" si="1"/>
        <v>Je viens de fermer la porte d’entrée au supermarché avant sa fermeture totale. Un client veut rentrer malgré tout et frappe violemment sur la porte vitrée. Que faites-vous ?|Je lui explique que le magasin et les caisses sont fermés|J’ouvre les portes et le laisse rentrer exceptionnellement|Je lui ordonne de quitter les lieux immédiatement et le menace d’appeler les forces de l’ordre|Je l’ignore et continue ma ronde de fermeture|Aucune des autres réponses</v>
      </c>
      <c r="D6" t="str" cm="1">
        <f t="array" ref="D6:I6">_xlfn.TEXTSPLIT(C6,"|")</f>
        <v>Je viens de fermer la porte d’entrée au supermarché avant sa fermeture totale. Un client veut rentrer malgré tout et frappe violemment sur la porte vitrée. Que faites-vous ?</v>
      </c>
      <c r="E6" t="str">
        <v>Je lui explique que le magasin et les caisses sont fermés</v>
      </c>
      <c r="F6" t="str">
        <v>J’ouvre les portes et le laisse rentrer exceptionnellement</v>
      </c>
      <c r="G6" t="str">
        <v>Je lui ordonne de quitter les lieux immédiatement et le menace d’appeler les forces de l’ordre</v>
      </c>
      <c r="H6" t="str">
        <v>Je l’ignore et continue ma ronde de fermeture</v>
      </c>
      <c r="I6" t="str">
        <v>Aucune des autres réponses</v>
      </c>
    </row>
    <row r="7" spans="1:9" x14ac:dyDescent="0.25">
      <c r="A7" s="6" t="s">
        <v>275</v>
      </c>
      <c r="B7" s="17">
        <f t="shared" si="0"/>
        <v>2</v>
      </c>
      <c r="C7" s="17" t="str">
        <f t="shared" si="1"/>
        <v>Lorsque l’agent observe des personnes en conflit dans son périmètre d’action, il doit ?|Uniquement observer ce qui se passe|Partir le plus vite possible|Se poser en médiateur|Prendre position avant de connaître l’origine du conflit|Aucune des autres réponses</v>
      </c>
      <c r="D7" t="str" cm="1">
        <f t="array" ref="D7:I7">_xlfn.TEXTSPLIT(C7,"|")</f>
        <v>Lorsque l’agent observe des personnes en conflit dans son périmètre d’action, il doit ?</v>
      </c>
      <c r="E7" t="str">
        <v>Uniquement observer ce qui se passe</v>
      </c>
      <c r="F7" t="str">
        <v>Partir le plus vite possible</v>
      </c>
      <c r="G7" t="str">
        <v>Se poser en médiateur</v>
      </c>
      <c r="H7" t="str">
        <v>Prendre position avant de connaître l’origine du conflit</v>
      </c>
      <c r="I7" t="str">
        <v>Aucune des autres réponses</v>
      </c>
    </row>
    <row r="8" spans="1:9" x14ac:dyDescent="0.25">
      <c r="A8" s="6" t="s">
        <v>276</v>
      </c>
      <c r="B8" s="17">
        <f t="shared" si="0"/>
        <v>2</v>
      </c>
      <c r="C8" s="17" t="str">
        <f t="shared" si="1"/>
        <v>Dans la communication non verbale, que peut signifier le fait de pointer quelqu’un du doigt ?|Une attitude menaçante ou arrogante|Une attitude de séduction|Une attitude apaisante|Une attitude conciliante|Aucune des autres réponses</v>
      </c>
      <c r="D8" t="str" cm="1">
        <f t="array" ref="D8:I8">_xlfn.TEXTSPLIT(C8,"|")</f>
        <v>Dans la communication non verbale, que peut signifier le fait de pointer quelqu’un du doigt ?</v>
      </c>
      <c r="E8" t="str">
        <v>Une attitude menaçante ou arrogante</v>
      </c>
      <c r="F8" t="str">
        <v>Une attitude de séduction</v>
      </c>
      <c r="G8" t="str">
        <v>Une attitude apaisante</v>
      </c>
      <c r="H8" t="str">
        <v>Une attitude conciliante</v>
      </c>
      <c r="I8" t="str">
        <v>Aucune des autres réponses</v>
      </c>
    </row>
    <row r="9" spans="1:9" x14ac:dyDescent="0.25">
      <c r="A9" s="6" t="s">
        <v>277</v>
      </c>
      <c r="B9" s="17">
        <f t="shared" si="0"/>
        <v>2</v>
      </c>
      <c r="C9" s="17" t="str">
        <f t="shared" si="1"/>
        <v>Durant sa ronde un agent découvre une personne qui fume dans le local des archives, comment procède-t-il pour intervenir sans générer de conflit ?|Lui confisquer ses cigarettes|Retourner au PCS pour renseigner l’incident sur la main courante|Laisser la personne terminer sa cigarette et lui demander de ne pas recommencer|Se présenter, et rappeler la réglementation au contrevenant|Aucune des autres réponses</v>
      </c>
      <c r="D9" t="str" cm="1">
        <f t="array" ref="D9:I9">_xlfn.TEXTSPLIT(C9,"|")</f>
        <v>Durant sa ronde un agent découvre une personne qui fume dans le local des archives, comment procède-t-il pour intervenir sans générer de conflit ?</v>
      </c>
      <c r="E9" t="str">
        <v>Lui confisquer ses cigarettes</v>
      </c>
      <c r="F9" t="str">
        <v>Retourner au PCS pour renseigner l’incident sur la main courante</v>
      </c>
      <c r="G9" t="str">
        <v>Laisser la personne terminer sa cigarette et lui demander de ne pas recommencer</v>
      </c>
      <c r="H9" t="str">
        <v>Se présenter, et rappeler la réglementation au contrevenant</v>
      </c>
      <c r="I9" t="str">
        <v>Aucune des autres réponses</v>
      </c>
    </row>
    <row r="10" spans="1:9" x14ac:dyDescent="0.25">
      <c r="A10" s="6" t="s">
        <v>278</v>
      </c>
      <c r="B10" s="17">
        <f t="shared" si="0"/>
        <v>3</v>
      </c>
      <c r="C10" s="17" t="str">
        <f t="shared" si="1"/>
        <v>Que doit faire le chef de poste lorsque vous êtes en conflit avec l’un de vos collègues APS ?|Attendre la dégradation de la situation pour offrir son aide|Contacter immédiatement la hiérarchie et demander des sanctions|Ne pas intervenir pour laisser la dispute s’estomper|Réunir les agents concernés pour résoudre le problème|Aucune des autres réponses</v>
      </c>
      <c r="D10" t="str" cm="1">
        <f t="array" ref="D10:I10">_xlfn.TEXTSPLIT(C10,"|")</f>
        <v>Que doit faire le chef de poste lorsque vous êtes en conflit avec l’un de vos collègues APS ?</v>
      </c>
      <c r="E10" t="str">
        <v>Attendre la dégradation de la situation pour offrir son aide</v>
      </c>
      <c r="F10" t="str">
        <v>Contacter immédiatement la hiérarchie et demander des sanctions</v>
      </c>
      <c r="G10" t="str">
        <v>Ne pas intervenir pour laisser la dispute s’estomper</v>
      </c>
      <c r="H10" t="str">
        <v>Réunir les agents concernés pour résoudre le problème</v>
      </c>
      <c r="I10" t="str">
        <v>Aucune des autres réponses</v>
      </c>
    </row>
    <row r="11" spans="1:9" x14ac:dyDescent="0.25">
      <c r="B11" s="17" t="e">
        <f t="shared" ref="B11:B41" si="2">FIND(" - ",A11)</f>
        <v>#VALUE!</v>
      </c>
      <c r="C11" s="17" t="e">
        <f t="shared" ref="C11:C28" si="3">RIGHT(A11, LEN(A11)-(B11+2))</f>
        <v>#VALUE!</v>
      </c>
      <c r="D11" t="e" cm="1">
        <f t="array" ref="D11">_xlfn.TEXTSPLIT(C11,"|")</f>
        <v>#VALUE!</v>
      </c>
    </row>
    <row r="12" spans="1:9" x14ac:dyDescent="0.25">
      <c r="A12" s="12" t="s">
        <v>329</v>
      </c>
      <c r="B12" s="17">
        <f t="shared" si="2"/>
        <v>2</v>
      </c>
      <c r="C12" s="17" t="str">
        <f t="shared" si="3"/>
        <v>Une consigne qui vous explique la procédure pour pénétrer dans un local où des matières toxiques sont entreposées en permanence est :|Une consigne générale|Une consigne particulière|Une consigne ponctuelle|Une consigne spéciale</v>
      </c>
      <c r="D12" t="str" cm="1">
        <f t="array" ref="D12:H12">_xlfn.TEXTSPLIT(C12,"|")</f>
        <v>Une consigne qui vous explique la procédure pour pénétrer dans un local où des matières toxiques sont entreposées en permanence est :</v>
      </c>
      <c r="E12" t="str">
        <v>Une consigne générale</v>
      </c>
      <c r="F12" t="str">
        <v>Une consigne particulière</v>
      </c>
      <c r="G12" t="str">
        <v>Une consigne ponctuelle</v>
      </c>
      <c r="H12" t="str">
        <v>Une consigne spéciale</v>
      </c>
    </row>
    <row r="13" spans="1:9" x14ac:dyDescent="0.25">
      <c r="A13" s="13" t="s">
        <v>330</v>
      </c>
      <c r="B13" s="17">
        <f t="shared" si="2"/>
        <v>2</v>
      </c>
      <c r="C13" s="17" t="str">
        <f t="shared" si="3"/>
        <v>Aucune des autres réponses</v>
      </c>
      <c r="D13" t="str" cm="1">
        <f t="array" ref="D13">_xlfn.TEXTSPLIT(C13,"|")</f>
        <v>Aucune des autres réponses</v>
      </c>
    </row>
    <row r="14" spans="1:9" x14ac:dyDescent="0.25">
      <c r="A14" s="13" t="s">
        <v>331</v>
      </c>
      <c r="B14" s="17">
        <f t="shared" si="2"/>
        <v>2</v>
      </c>
      <c r="C14" s="17" t="str">
        <f t="shared" si="3"/>
        <v>Une consigne Client, qui vous prévient que demain un VIP viendra visiter l’établissement est :|Une consigne générale|Une consigne permanente|Une consigne ponctuelle|Un consigne spéciale|Aucune des autres réponses</v>
      </c>
      <c r="D14" t="str" cm="1">
        <f t="array" ref="D14:I14">_xlfn.TEXTSPLIT(C14,"|")</f>
        <v>Une consigne Client, qui vous prévient que demain un VIP viendra visiter l’établissement est :</v>
      </c>
      <c r="E14" t="str">
        <v>Une consigne générale</v>
      </c>
      <c r="F14" t="str">
        <v>Une consigne permanente</v>
      </c>
      <c r="G14" t="str">
        <v>Une consigne ponctuelle</v>
      </c>
      <c r="H14" t="str">
        <v>Un consigne spéciale</v>
      </c>
      <c r="I14" t="str">
        <v>Aucune des autres réponses</v>
      </c>
    </row>
    <row r="15" spans="1:9" x14ac:dyDescent="0.25">
      <c r="A15" s="13" t="s">
        <v>332</v>
      </c>
      <c r="B15" s="17">
        <f t="shared" si="2"/>
        <v>2</v>
      </c>
      <c r="C15" s="17" t="str">
        <f t="shared" si="3"/>
        <v>La consigne affichée à proximité des sorties concernant l’évacuation est :|Une consigne permanente|Une consigne particulière|Une consigne ponctuelle|Un consigne spéciale|Aucune des autres réponses</v>
      </c>
      <c r="D15" t="str" cm="1">
        <f t="array" ref="D15:I15">_xlfn.TEXTSPLIT(C15,"|")</f>
        <v>La consigne affichée à proximité des sorties concernant l’évacuation est :</v>
      </c>
      <c r="E15" t="str">
        <v>Une consigne permanente</v>
      </c>
      <c r="F15" t="str">
        <v>Une consigne particulière</v>
      </c>
      <c r="G15" t="str">
        <v>Une consigne ponctuelle</v>
      </c>
      <c r="H15" t="str">
        <v>Un consigne spéciale</v>
      </c>
      <c r="I15" t="str">
        <v>Aucune des autres réponses</v>
      </c>
    </row>
    <row r="16" spans="1:9" x14ac:dyDescent="0.25">
      <c r="A16" s="13" t="s">
        <v>333</v>
      </c>
      <c r="B16" s="17">
        <f t="shared" si="2"/>
        <v>2</v>
      </c>
      <c r="C16" s="17" t="str">
        <f t="shared" si="3"/>
        <v>Quelle est la meilleure façon d’écrire une date sur la main courante papier ?|Le 17-10-30|Le 30/10/17|Le 30/10/2017|L’an 2017-10-30|Lundi 30 octobre 2017</v>
      </c>
      <c r="D16" t="str" cm="1">
        <f t="array" ref="D16:I16">_xlfn.TEXTSPLIT(C16,"|")</f>
        <v>Quelle est la meilleure façon d’écrire une date sur la main courante papier ?</v>
      </c>
      <c r="E16" t="str">
        <v>Le 17-10-30</v>
      </c>
      <c r="F16" t="str">
        <v>Le 30/10/17</v>
      </c>
      <c r="G16" t="str">
        <v>Le 30/10/2017</v>
      </c>
      <c r="H16" t="str">
        <v>L’an 2017-10-30</v>
      </c>
      <c r="I16" t="str">
        <v>Lundi 30 octobre 2017</v>
      </c>
    </row>
    <row r="17" spans="1:9" x14ac:dyDescent="0.25">
      <c r="A17" s="13" t="s">
        <v>334</v>
      </c>
      <c r="B17" s="17">
        <f t="shared" si="2"/>
        <v>2</v>
      </c>
      <c r="C17" s="17" t="str">
        <f t="shared" si="3"/>
        <v>Le compte rendu oral ou écrit est un moyen de communication :|Simple et direct avec sa hiérarchie|Qui reste interne à votre entreprise sans conséquence pénale|Il est effectué uniquement à l’aide d’un émetteur/récepteur|Il évite dans tous les cas de rédiger un rapport complet qui serait trop contraignant|Aucune des autres réponses</v>
      </c>
      <c r="D17" t="str" cm="1">
        <f t="array" ref="D17:I17">_xlfn.TEXTSPLIT(C17,"|")</f>
        <v>Le compte rendu oral ou écrit est un moyen de communication :</v>
      </c>
      <c r="E17" t="str">
        <v>Simple et direct avec sa hiérarchie</v>
      </c>
      <c r="F17" t="str">
        <v>Qui reste interne à votre entreprise sans conséquence pénale</v>
      </c>
      <c r="G17" t="str">
        <v>Il est effectué uniquement à l’aide d’un émetteur/récepteur</v>
      </c>
      <c r="H17" t="str">
        <v>Il évite dans tous les cas de rédiger un rapport complet qui serait trop contraignant</v>
      </c>
      <c r="I17" t="str">
        <v>Aucune des autres réponses</v>
      </c>
    </row>
    <row r="18" spans="1:9" x14ac:dyDescent="0.25">
      <c r="A18" s="13" t="s">
        <v>335</v>
      </c>
      <c r="B18" s="17">
        <f t="shared" si="2"/>
        <v>2</v>
      </c>
      <c r="C18" s="17" t="str">
        <f t="shared" si="3"/>
        <v>De quelle couleur est-il préférable d’écrire les interventions liées à l’incendie sur une main courante ?|En noir|En bleu|En rouge|En vert|Aucune des autres réponses</v>
      </c>
      <c r="D18" t="str" cm="1">
        <f t="array" ref="D18:I18">_xlfn.TEXTSPLIT(C18,"|")</f>
        <v>De quelle couleur est-il préférable d’écrire les interventions liées à l’incendie sur une main courante ?</v>
      </c>
      <c r="E18" t="str">
        <v>En noir</v>
      </c>
      <c r="F18" t="str">
        <v>En bleu</v>
      </c>
      <c r="G18" t="str">
        <v>En rouge</v>
      </c>
      <c r="H18" t="str">
        <v>En vert</v>
      </c>
      <c r="I18" t="str">
        <v>Aucune des autres réponses</v>
      </c>
    </row>
    <row r="19" spans="1:9" x14ac:dyDescent="0.25">
      <c r="A19" s="13" t="s">
        <v>336</v>
      </c>
      <c r="B19" s="17">
        <f t="shared" si="2"/>
        <v>2</v>
      </c>
      <c r="C19" s="17" t="str">
        <f t="shared" si="3"/>
        <v>Une main courante doit-elle être ?|Chronologique|Datée|Factuelle|Informatisée ou manuscrite|Toutes les réponses précédentes sont exactes</v>
      </c>
      <c r="D19" t="str" cm="1">
        <f t="array" ref="D19:I19">_xlfn.TEXTSPLIT(C19,"|")</f>
        <v>Une main courante doit-elle être ?</v>
      </c>
      <c r="E19" t="str">
        <v>Chronologique</v>
      </c>
      <c r="F19" t="str">
        <v>Datée</v>
      </c>
      <c r="G19" t="str">
        <v>Factuelle</v>
      </c>
      <c r="H19" t="str">
        <v>Informatisée ou manuscrite</v>
      </c>
      <c r="I19" t="str">
        <v>Toutes les réponses précédentes sont exactes</v>
      </c>
    </row>
    <row r="20" spans="1:9" x14ac:dyDescent="0.25">
      <c r="A20" s="13" t="s">
        <v>337</v>
      </c>
      <c r="B20" s="17">
        <f t="shared" si="2"/>
        <v>2</v>
      </c>
      <c r="C20" s="17" t="str">
        <f t="shared" si="3"/>
        <v>La mise en place et l’utilisation d’une main courante est-elle soumise à une réglementation ?|Oui, c’est la loi du 12 juillet 1983 qui l’impose|Oui, c’est le CSI qui l’impose|Oui, c’est la convention collective qui l’impose|Non, mais elle permet de se protéger en cas de saisie par les autorités|Aucune des autres réponses</v>
      </c>
      <c r="D20" t="str" cm="1">
        <f t="array" ref="D20:I20">_xlfn.TEXTSPLIT(C20,"|")</f>
        <v>La mise en place et l’utilisation d’une main courante est-elle soumise à une réglementation ?</v>
      </c>
      <c r="E20" t="str">
        <v>Oui, c’est la loi du 12 juillet 1983 qui l’impose</v>
      </c>
      <c r="F20" t="str">
        <v>Oui, c’est le CSI qui l’impose</v>
      </c>
      <c r="G20" t="str">
        <v>Oui, c’est la convention collective qui l’impose</v>
      </c>
      <c r="H20" t="str">
        <v>Non, mais elle permet de se protéger en cas de saisie par les autorités</v>
      </c>
      <c r="I20" t="str">
        <v>Aucune des autres réponses</v>
      </c>
    </row>
    <row r="21" spans="1:9" x14ac:dyDescent="0.25">
      <c r="A21" s="13" t="s">
        <v>338</v>
      </c>
      <c r="B21" s="17">
        <f t="shared" si="2"/>
        <v>2</v>
      </c>
      <c r="C21" s="17" t="str">
        <f t="shared" si="3"/>
        <v>Les consignes spéciales de votre société de sécurité doivent-elles avoir un numéro séquentiel de version ?|Oui, pour pouvoir les ranger dans les archives|Oui, pour savoir si c’est la bonne version en vigueur|Non, puisqu’elles sont permanentes|Non, cela ne sert à rien|Aucune des autres réponses</v>
      </c>
      <c r="D21" t="str" cm="1">
        <f t="array" ref="D21:I21">_xlfn.TEXTSPLIT(C21,"|")</f>
        <v>Les consignes spéciales de votre société de sécurité doivent-elles avoir un numéro séquentiel de version ?</v>
      </c>
      <c r="E21" t="str">
        <v>Oui, pour pouvoir les ranger dans les archives</v>
      </c>
      <c r="F21" t="str">
        <v>Oui, pour savoir si c’est la bonne version en vigueur</v>
      </c>
      <c r="G21" t="str">
        <v>Non, puisqu’elles sont permanentes</v>
      </c>
      <c r="H21" t="str">
        <v>Non, cela ne sert à rien</v>
      </c>
      <c r="I21" t="str">
        <v>Aucune des autres réponses</v>
      </c>
    </row>
    <row r="22" spans="1:9" x14ac:dyDescent="0.25">
      <c r="A22" s="13" t="s">
        <v>339</v>
      </c>
      <c r="B22" s="17">
        <f t="shared" si="2"/>
        <v>3</v>
      </c>
      <c r="C22" s="17" t="str">
        <f t="shared" si="3"/>
        <v>Une main courante informatisée peut-elle être consultable à distance ?|Non, pour éviter tout piratage|Non, les informations doivent rester sur le site|Oui, le responsable pourra voir au fur et à mesure les événements|Oui, lorsque l’on veut la modifier en fin de journée|Aucune des autres réponses</v>
      </c>
      <c r="D22" t="str" cm="1">
        <f t="array" ref="D22:I22">_xlfn.TEXTSPLIT(C22,"|")</f>
        <v>Une main courante informatisée peut-elle être consultable à distance ?</v>
      </c>
      <c r="E22" t="str">
        <v>Non, pour éviter tout piratage</v>
      </c>
      <c r="F22" t="str">
        <v>Non, les informations doivent rester sur le site</v>
      </c>
      <c r="G22" t="str">
        <v>Oui, le responsable pourra voir au fur et à mesure les événements</v>
      </c>
      <c r="H22" t="str">
        <v>Oui, lorsque l’on veut la modifier en fin de journée</v>
      </c>
      <c r="I22" t="str">
        <v>Aucune des autres réponses</v>
      </c>
    </row>
    <row r="23" spans="1:9" x14ac:dyDescent="0.25">
      <c r="A23" s="13" t="s">
        <v>340</v>
      </c>
      <c r="B23" s="17">
        <f t="shared" si="2"/>
        <v>3</v>
      </c>
      <c r="C23" s="17" t="str">
        <f t="shared" si="3"/>
        <v>Vous disposez d’une main courante informatisée, devez-vous quand même disposer d’une main courante papier ?|Oui, et on doit remplir les deux|Oui, dans l’éventualité où la main courante informatisée soit hors service|Non, puisqu’on peut tout imprimer plus tard|Non, cela ne sert à rien|Aucune des autres réponses</v>
      </c>
      <c r="D23" t="str" cm="1">
        <f t="array" ref="D23:I23">_xlfn.TEXTSPLIT(C23,"|")</f>
        <v>Vous disposez d’une main courante informatisée, devez-vous quand même disposer d’une main courante papier ?</v>
      </c>
      <c r="E23" t="str">
        <v>Oui, et on doit remplir les deux</v>
      </c>
      <c r="F23" t="str">
        <v>Oui, dans l’éventualité où la main courante informatisée soit hors service</v>
      </c>
      <c r="G23" t="str">
        <v>Non, puisqu’on peut tout imprimer plus tard</v>
      </c>
      <c r="H23" t="str">
        <v>Non, cela ne sert à rien</v>
      </c>
      <c r="I23" t="str">
        <v>Aucune des autres réponses</v>
      </c>
    </row>
    <row r="24" spans="1:9" x14ac:dyDescent="0.25">
      <c r="A24" s="13" t="s">
        <v>341</v>
      </c>
      <c r="B24" s="17">
        <f t="shared" si="2"/>
        <v>3</v>
      </c>
      <c r="C24" s="17" t="str">
        <f t="shared" si="3"/>
        <v>Une main courante a comme objectif :|De noter uniquement les interventions de la vacation|De noter uniquement les problèmes techniques|De transmettre uniquement des consignes|De relater tous les événements liés à la sécurité lors de la vacation|Aucune des autres réponses</v>
      </c>
      <c r="D24" t="str" cm="1">
        <f t="array" ref="D24:I24">_xlfn.TEXTSPLIT(C24,"|")</f>
        <v>Une main courante a comme objectif :</v>
      </c>
      <c r="E24" t="str">
        <v>De noter uniquement les interventions de la vacation</v>
      </c>
      <c r="F24" t="str">
        <v>De noter uniquement les problèmes techniques</v>
      </c>
      <c r="G24" t="str">
        <v>De transmettre uniquement des consignes</v>
      </c>
      <c r="H24" t="str">
        <v>De relater tous les événements liés à la sécurité lors de la vacation</v>
      </c>
      <c r="I24" t="str">
        <v>Aucune des autres réponses</v>
      </c>
    </row>
    <row r="25" spans="1:9" x14ac:dyDescent="0.25">
      <c r="A25" s="13" t="s">
        <v>342</v>
      </c>
      <c r="B25" s="17">
        <f t="shared" si="2"/>
        <v>3</v>
      </c>
      <c r="C25" s="17" t="str">
        <f t="shared" si="3"/>
        <v>Le compte rendu écrit est un moyen :|Qui constitue une preuve irréfutable|De signaler un fait circonstancié urgent et important|De noter sur un document brouillon avant de le rédiger au propre|De contrôle du travail effectué par les agents|Aucune des autres réponses</v>
      </c>
      <c r="D25" t="str" cm="1">
        <f t="array" ref="D25:I25">_xlfn.TEXTSPLIT(C25,"|")</f>
        <v>Le compte rendu écrit est un moyen :</v>
      </c>
      <c r="E25" t="str">
        <v>Qui constitue une preuve irréfutable</v>
      </c>
      <c r="F25" t="str">
        <v>De signaler un fait circonstancié urgent et important</v>
      </c>
      <c r="G25" t="str">
        <v>De noter sur un document brouillon avant de le rédiger au propre</v>
      </c>
      <c r="H25" t="str">
        <v>De contrôle du travail effectué par les agents</v>
      </c>
      <c r="I25" t="str">
        <v>Aucune des autres réponses</v>
      </c>
    </row>
    <row r="26" spans="1:9" x14ac:dyDescent="0.25">
      <c r="A26" s="13" t="s">
        <v>343</v>
      </c>
      <c r="B26" s="17">
        <f t="shared" si="2"/>
        <v>3</v>
      </c>
      <c r="C26" s="17" t="str">
        <f t="shared" si="3"/>
        <v>Concernant les rondes, que doit-on notifier sur la main courante ?|Le nom de l’agent effectuant la ronde|L’heure de retour de ronde|Les anomalies constatées|Les mesures prises en cas d’anomalie|Toutes les réponses sont bonnes</v>
      </c>
      <c r="D26" t="str" cm="1">
        <f t="array" ref="D26:I26">_xlfn.TEXTSPLIT(C26,"|")</f>
        <v>Concernant les rondes, que doit-on notifier sur la main courante ?</v>
      </c>
      <c r="E26" t="str">
        <v>Le nom de l’agent effectuant la ronde</v>
      </c>
      <c r="F26" t="str">
        <v>L’heure de retour de ronde</v>
      </c>
      <c r="G26" t="str">
        <v>Les anomalies constatées</v>
      </c>
      <c r="H26" t="str">
        <v>Les mesures prises en cas d’anomalie</v>
      </c>
      <c r="I26" t="str">
        <v>Toutes les réponses sont bonnes</v>
      </c>
    </row>
    <row r="27" spans="1:9" x14ac:dyDescent="0.25">
      <c r="A27" s="13" t="s">
        <v>344</v>
      </c>
      <c r="B27" s="17">
        <f t="shared" si="2"/>
        <v>3</v>
      </c>
      <c r="C27" s="17" t="str">
        <f t="shared" si="3"/>
        <v>Un rapport circonstancié doit :|Indiquer l’ensemble des informations de l’incident|Uniquement indiquer les conséquences de l’incident|Uniquement indiquer les circonstances de l’incident|Proposer les solutions afin d’éviter que l’incident ne se reproduise|Aucune des autres réponses</v>
      </c>
      <c r="D27" t="str" cm="1">
        <f t="array" ref="D27:I27">_xlfn.TEXTSPLIT(C27,"|")</f>
        <v>Un rapport circonstancié doit :</v>
      </c>
      <c r="E27" t="str">
        <v>Indiquer l’ensemble des informations de l’incident</v>
      </c>
      <c r="F27" t="str">
        <v>Uniquement indiquer les conséquences de l’incident</v>
      </c>
      <c r="G27" t="str">
        <v>Uniquement indiquer les circonstances de l’incident</v>
      </c>
      <c r="H27" t="str">
        <v>Proposer les solutions afin d’éviter que l’incident ne se reproduise</v>
      </c>
      <c r="I27" t="str">
        <v>Aucune des autres réponses</v>
      </c>
    </row>
    <row r="28" spans="1:9" x14ac:dyDescent="0.25">
      <c r="A28" s="13" t="s">
        <v>345</v>
      </c>
      <c r="B28" s="17">
        <f t="shared" si="2"/>
        <v>3</v>
      </c>
      <c r="C28" s="17" t="str">
        <f t="shared" si="3"/>
        <v>De quelle couleur est-il préférable d’écrire les événements quotidiens sur une main courante ?|En noir|En jaune|En rouge|En vert|Aucune des autres réponses</v>
      </c>
      <c r="D28" t="str" cm="1">
        <f t="array" ref="D28:I28">_xlfn.TEXTSPLIT(C28,"|")</f>
        <v>De quelle couleur est-il préférable d’écrire les événements quotidiens sur une main courante ?</v>
      </c>
      <c r="E28" t="str">
        <v>En noir</v>
      </c>
      <c r="F28" t="str">
        <v>En jaune</v>
      </c>
      <c r="G28" t="str">
        <v>En rouge</v>
      </c>
      <c r="H28" t="str">
        <v>En vert</v>
      </c>
      <c r="I28" t="str">
        <v>Aucune des autres réponses</v>
      </c>
    </row>
    <row r="29" spans="1:9" x14ac:dyDescent="0.25">
      <c r="B29" s="17" t="e">
        <f t="shared" si="2"/>
        <v>#VALUE!</v>
      </c>
      <c r="C29" s="17" t="e">
        <f t="shared" ref="C29:C41" si="4">RIGHT(A29, LEN(A29)-(B29+2))</f>
        <v>#VALUE!</v>
      </c>
      <c r="D29" t="e" cm="1">
        <f t="array" ref="D29">_xlfn.TEXTSPLIT(C29,"|")</f>
        <v>#VALUE!</v>
      </c>
    </row>
    <row r="30" spans="1:9" x14ac:dyDescent="0.25">
      <c r="A30" s="6" t="s">
        <v>419</v>
      </c>
      <c r="B30" s="17">
        <f t="shared" si="2"/>
        <v>10</v>
      </c>
      <c r="C30" s="17" t="str">
        <f t="shared" si="4"/>
        <v>D’après vous, une bonne présentation est-elle nécessaire durant votre service ?|Oui|Non|Cela dépend du poste occupé|Uniquement au contact du public|Aucune des autres réponses</v>
      </c>
      <c r="D30" t="str" cm="1">
        <f t="array" ref="D30:I30">_xlfn.TEXTSPLIT(C30,"|")</f>
        <v>D’après vous, une bonne présentation est-elle nécessaire durant votre service ?</v>
      </c>
      <c r="E30" t="str">
        <v>Oui</v>
      </c>
      <c r="F30" t="str">
        <v>Non</v>
      </c>
      <c r="G30" t="str">
        <v>Cela dépend du poste occupé</v>
      </c>
      <c r="H30" t="str">
        <v>Uniquement au contact du public</v>
      </c>
      <c r="I30" t="str">
        <v>Aucune des autres réponses</v>
      </c>
    </row>
    <row r="31" spans="1:9" x14ac:dyDescent="0.25">
      <c r="A31" s="6" t="s">
        <v>420</v>
      </c>
      <c r="B31" s="17">
        <f t="shared" si="2"/>
        <v>10</v>
      </c>
      <c r="C31" s="17" t="str">
        <f t="shared" si="4"/>
        <v>Une zone de protection volumétrique concerne :|Un objet précis|Une vitrine|Un local|Une clôture|Aucune des autres réponses</v>
      </c>
      <c r="D31" t="str" cm="1">
        <f t="array" ref="D31:I31">_xlfn.TEXTSPLIT(C31,"|")</f>
        <v>Une zone de protection volumétrique concerne :</v>
      </c>
      <c r="E31" t="str">
        <v>Un objet précis</v>
      </c>
      <c r="F31" t="str">
        <v>Une vitrine</v>
      </c>
      <c r="G31" t="str">
        <v>Un local</v>
      </c>
      <c r="H31" t="str">
        <v>Une clôture</v>
      </c>
      <c r="I31" t="str">
        <v>Aucune des autres réponses</v>
      </c>
    </row>
    <row r="32" spans="1:9" x14ac:dyDescent="0.25">
      <c r="A32" s="6" t="s">
        <v>421</v>
      </c>
      <c r="B32" s="17">
        <f t="shared" si="2"/>
        <v>10</v>
      </c>
      <c r="C32" s="17" t="str">
        <f t="shared" si="4"/>
        <v>Dans quelle condition un APS peut-il être amené à appréhender un individu ?|L’individu paraît suspect en ressortant du site sans dire “au revoir”|L’individu comment un délit ou un crime sur le site|L’individu refuse d’ouvrir son bagage à l’entrée de l’établissement|L’individu est sur le site pendant les heures d’ouverture et ne respecte pas le règlement intérieur|Aucune des autres réponses</v>
      </c>
      <c r="D32" t="str" cm="1">
        <f t="array" ref="D32:I32">_xlfn.TEXTSPLIT(C32,"|")</f>
        <v>Dans quelle condition un APS peut-il être amené à appréhender un individu ?</v>
      </c>
      <c r="E32" t="str">
        <v>L’individu paraît suspect en ressortant du site sans dire “au revoir”</v>
      </c>
      <c r="F32" t="str">
        <v>L’individu comment un délit ou un crime sur le site</v>
      </c>
      <c r="G32" t="str">
        <v>L’individu refuse d’ouvrir son bagage à l’entrée de l’établissement</v>
      </c>
      <c r="H32" t="str">
        <v>L’individu est sur le site pendant les heures d’ouverture et ne respecte pas le règlement intérieur</v>
      </c>
      <c r="I32" t="str">
        <v>Aucune des autres réponses</v>
      </c>
    </row>
    <row r="33" spans="1:9" x14ac:dyDescent="0.25">
      <c r="A33" s="6" t="s">
        <v>422</v>
      </c>
      <c r="B33" s="17">
        <f t="shared" si="2"/>
        <v>10</v>
      </c>
      <c r="C33" s="17" t="str">
        <f t="shared" si="4"/>
        <v>Vous êtes agent pré-vol, vous constatez qu’un de vos amis dissimule une bouteille de rhum dans son blouson et quitte le magasin par la sortie sans achats. Quelle est votre réaction ?|Vous ne faites rien car c’est un ami|VOus lui demandez de remettre la bouteille en place discrètement|Vous ne réagissez pas mais en parlerez avec lui après votre travail|Vous prévenez vos collègues pour une appréhension en sortie sans achats|Aucune des autres réponses</v>
      </c>
      <c r="D33" t="str" cm="1">
        <f t="array" ref="D33:I33">_xlfn.TEXTSPLIT(C33,"|")</f>
        <v>Vous êtes agent pré-vol, vous constatez qu’un de vos amis dissimule une bouteille de rhum dans son blouson et quitte le magasin par la sortie sans achats. Quelle est votre réaction ?</v>
      </c>
      <c r="E33" t="str">
        <v>Vous ne faites rien car c’est un ami</v>
      </c>
      <c r="F33" t="str">
        <v>VOus lui demandez de remettre la bouteille en place discrètement</v>
      </c>
      <c r="G33" t="str">
        <v>Vous ne réagissez pas mais en parlerez avec lui après votre travail</v>
      </c>
      <c r="H33" t="str">
        <v>Vous prévenez vos collègues pour une appréhension en sortie sans achats</v>
      </c>
      <c r="I33" t="str">
        <v>Aucune des autres réponses</v>
      </c>
    </row>
    <row r="34" spans="1:9" x14ac:dyDescent="0.25">
      <c r="A34" s="6" t="s">
        <v>423</v>
      </c>
      <c r="B34" s="17">
        <f t="shared" si="2"/>
        <v>10</v>
      </c>
      <c r="C34" s="17" t="str">
        <f t="shared" si="4"/>
        <v>Les acteurs de la sécurité privée doivent en priorité :|Comptabiliser les vols en magasin|Ne pas intervenir sur les accidents et les incendies|Aider la justice et les services de police|Favoriser les délits et les crimes|Aucune des autres réponses</v>
      </c>
      <c r="D34" t="str" cm="1">
        <f t="array" ref="D34:I34">_xlfn.TEXTSPLIT(C34,"|")</f>
        <v>Les acteurs de la sécurité privée doivent en priorité :</v>
      </c>
      <c r="E34" t="str">
        <v>Comptabiliser les vols en magasin</v>
      </c>
      <c r="F34" t="str">
        <v>Ne pas intervenir sur les accidents et les incendies</v>
      </c>
      <c r="G34" t="str">
        <v>Aider la justice et les services de police</v>
      </c>
      <c r="H34" t="str">
        <v>Favoriser les délits et les crimes</v>
      </c>
      <c r="I34" t="str">
        <v>Aucune des autres réponses</v>
      </c>
    </row>
    <row r="35" spans="1:9" x14ac:dyDescent="0.25">
      <c r="A35" s="6" t="s">
        <v>424</v>
      </c>
      <c r="B35" s="17">
        <f t="shared" si="2"/>
        <v>10</v>
      </c>
      <c r="C35" s="17" t="str">
        <f t="shared" si="4"/>
        <v>Au cours d’une appréhension n arrière-caisse, un individu vous porte un violent coup de poing au visage, vous cassant le nez :|Il n’y a rien à faire, ce sont les risques du métier, vous ferez plus attention la prochaine fois|Vous allez vous faire examiner par un médecin qui vous délivrera un arrêt de travail|Vous lui rendez la pareille étant en état de légitime défense|Vous ne pouvez pas déposer plainte contre la personne, c’est du ressort du magasin pour lequel vous travaillez|Aucune des autres réponses</v>
      </c>
      <c r="D35" t="str" cm="1">
        <f t="array" ref="D35:I35">_xlfn.TEXTSPLIT(C35,"|")</f>
        <v>Au cours d’une appréhension n arrière-caisse, un individu vous porte un violent coup de poing au visage, vous cassant le nez :</v>
      </c>
      <c r="E35" t="str">
        <v>Il n’y a rien à faire, ce sont les risques du métier, vous ferez plus attention la prochaine fois</v>
      </c>
      <c r="F35" t="str">
        <v>Vous allez vous faire examiner par un médecin qui vous délivrera un arrêt de travail</v>
      </c>
      <c r="G35" t="str">
        <v>Vous lui rendez la pareille étant en état de légitime défense</v>
      </c>
      <c r="H35" t="str">
        <v>Vous ne pouvez pas déposer plainte contre la personne, c’est du ressort du magasin pour lequel vous travaillez</v>
      </c>
      <c r="I35" t="str">
        <v>Aucune des autres réponses</v>
      </c>
    </row>
    <row r="36" spans="1:9" x14ac:dyDescent="0.25">
      <c r="A36" s="6" t="s">
        <v>425</v>
      </c>
      <c r="B36" s="17">
        <f t="shared" si="2"/>
        <v>10</v>
      </c>
      <c r="C36" s="17" t="str">
        <f t="shared" si="4"/>
        <v>Indiquez une mission entrant dans le cadre d’une ronde de fermeture :|Distribuer le courrier|Contrôler la fermeture des fenêtres|Mettre en action les extincteurs|Arroser les plantes de l’accueil|Aucune des autres réponses</v>
      </c>
      <c r="D36" t="str" cm="1">
        <f t="array" ref="D36:I36">_xlfn.TEXTSPLIT(C36,"|")</f>
        <v>Indiquez une mission entrant dans le cadre d’une ronde de fermeture :</v>
      </c>
      <c r="E36" t="str">
        <v>Distribuer le courrier</v>
      </c>
      <c r="F36" t="str">
        <v>Contrôler la fermeture des fenêtres</v>
      </c>
      <c r="G36" t="str">
        <v>Mettre en action les extincteurs</v>
      </c>
      <c r="H36" t="str">
        <v>Arroser les plantes de l’accueil</v>
      </c>
      <c r="I36" t="str">
        <v>Aucune des autres réponses</v>
      </c>
    </row>
    <row r="37" spans="1:9" x14ac:dyDescent="0.25">
      <c r="A37" s="6" t="s">
        <v>426</v>
      </c>
      <c r="B37" s="17">
        <f t="shared" si="2"/>
        <v>10</v>
      </c>
      <c r="C37" s="17" t="str">
        <f t="shared" si="4"/>
        <v>Indiquez ce que l’on doit inscrire sur la main courante ?|Les alarmes techniques|Mes impressions en fin de journée|Les noms des agents de sécurité de repos|Les messages personnels|Aucune des autres réponses</v>
      </c>
      <c r="D37" t="str" cm="1">
        <f t="array" ref="D37:I37">_xlfn.TEXTSPLIT(C37,"|")</f>
        <v>Indiquez ce que l’on doit inscrire sur la main courante ?</v>
      </c>
      <c r="E37" t="str">
        <v>Les alarmes techniques</v>
      </c>
      <c r="F37" t="str">
        <v>Mes impressions en fin de journée</v>
      </c>
      <c r="G37" t="str">
        <v>Les noms des agents de sécurité de repos</v>
      </c>
      <c r="H37" t="str">
        <v>Les messages personnels</v>
      </c>
      <c r="I37" t="str">
        <v>Aucune des autres réponses</v>
      </c>
    </row>
    <row r="38" spans="1:9" x14ac:dyDescent="0.25">
      <c r="A38" s="6" t="s">
        <v>427</v>
      </c>
      <c r="B38" s="17">
        <f t="shared" si="2"/>
        <v>10</v>
      </c>
      <c r="C38" s="17" t="str">
        <f t="shared" si="4"/>
        <v>En ce qui concerne la ronde, un point dit sensible est :|Un point qui en cas d’atteinte pourrait handicaper le bon fonctionnement de l’entreprise|Un point qui a fait l’objet d’une non-conformité relevée lors d’un contrôle du CNAPS|Un point comportant un danger permanent|Un point convoité par les voleurs|Aucune des autres réponses</v>
      </c>
      <c r="D38" t="str" cm="1">
        <f t="array" ref="D38:I38">_xlfn.TEXTSPLIT(C38,"|")</f>
        <v>En ce qui concerne la ronde, un point dit sensible est :</v>
      </c>
      <c r="E38" t="str">
        <v>Un point qui en cas d’atteinte pourrait handicaper le bon fonctionnement de l’entreprise</v>
      </c>
      <c r="F38" t="str">
        <v>Un point qui a fait l’objet d’une non-conformité relevée lors d’un contrôle du CNAPS</v>
      </c>
      <c r="G38" t="str">
        <v>Un point comportant un danger permanent</v>
      </c>
      <c r="H38" t="str">
        <v>Un point convoité par les voleurs</v>
      </c>
      <c r="I38" t="str">
        <v>Aucune des autres réponses</v>
      </c>
    </row>
    <row r="39" spans="1:9" x14ac:dyDescent="0.25">
      <c r="A39" s="6" t="s">
        <v>428</v>
      </c>
      <c r="B39" s="17">
        <f t="shared" si="2"/>
        <v>11</v>
      </c>
      <c r="C39" s="17" t="str">
        <f t="shared" si="4"/>
        <v>Vous êtes agent en arrière caisse dans un magasin, pouvez-vous procéder à l’inspection visuelle des sacs d’achat de personnes déjà passées en caisse ?|Seulement en présence des forces de l’ordre|Oui, si vos consignes le précisent|Oui, comme bon vous semble|Uniquement si le plan Vigipirate est déclenché|Aucune des autres réponses</v>
      </c>
      <c r="D39" t="str" cm="1">
        <f t="array" ref="D39:I39">_xlfn.TEXTSPLIT(C39,"|")</f>
        <v>Vous êtes agent en arrière caisse dans un magasin, pouvez-vous procéder à l’inspection visuelle des sacs d’achat de personnes déjà passées en caisse ?</v>
      </c>
      <c r="E39" t="str">
        <v>Seulement en présence des forces de l’ordre</v>
      </c>
      <c r="F39" t="str">
        <v>Oui, si vos consignes le précisent</v>
      </c>
      <c r="G39" t="str">
        <v>Oui, comme bon vous semble</v>
      </c>
      <c r="H39" t="str">
        <v>Uniquement si le plan Vigipirate est déclenché</v>
      </c>
      <c r="I39" t="str">
        <v>Aucune des autres réponses</v>
      </c>
    </row>
    <row r="40" spans="1:9" x14ac:dyDescent="0.25">
      <c r="A40" s="6" t="s">
        <v>429</v>
      </c>
      <c r="B40" s="17">
        <f t="shared" si="2"/>
        <v>11</v>
      </c>
      <c r="C40" s="17" t="str">
        <f t="shared" si="4"/>
        <v>Quels sont les différents moyens de communication mis à disposition d’un agent de sécurité ?|Les moyens de liaison|Les moyens d'alarme|Les moyens de protection|Les moyens télépathiques|Aucune des autres réponses</v>
      </c>
      <c r="D40" t="str" cm="1">
        <f t="array" ref="D40:I40">_xlfn.TEXTSPLIT(C40,"|")</f>
        <v>Quels sont les différents moyens de communication mis à disposition d’un agent de sécurité ?</v>
      </c>
      <c r="E40" t="str">
        <v>Les moyens de liaison</v>
      </c>
      <c r="F40" t="str">
        <v>Les moyens d'alarme</v>
      </c>
      <c r="G40" t="str">
        <v>Les moyens de protection</v>
      </c>
      <c r="H40" t="str">
        <v>Les moyens télépathiques</v>
      </c>
      <c r="I40" t="str">
        <v>Aucune des autres réponses</v>
      </c>
    </row>
    <row r="41" spans="1:9" x14ac:dyDescent="0.25">
      <c r="A41" s="6" t="s">
        <v>430</v>
      </c>
      <c r="B41" s="17">
        <f t="shared" si="2"/>
        <v>11</v>
      </c>
      <c r="C41" s="17" t="str">
        <f t="shared" si="4"/>
        <v>Face à une réquisition légale ?|On peut refuser de l’exécuter s’il n’y a pas la présence d’un sceau du service de police ou de gendarmerie|On peut refuser de l’exécuter si on n’est pas en fonction d’agent de sécurité|On peut refuser de l’exécuter sans motif légitime|On ne peut sans motif légitime refuser de l’exécuter sous peine d’être poursuivi|Aucune des autres réponses</v>
      </c>
      <c r="D41" t="str" cm="1">
        <f t="array" ref="D41:I41">_xlfn.TEXTSPLIT(C41,"|")</f>
        <v>Face à une réquisition légale ?</v>
      </c>
      <c r="E41" t="str">
        <v>On peut refuser de l’exécuter s’il n’y a pas la présence d’un sceau du service de police ou de gendarmerie</v>
      </c>
      <c r="F41" t="str">
        <v>On peut refuser de l’exécuter si on n’est pas en fonction d’agent de sécurité</v>
      </c>
      <c r="G41" t="str">
        <v>On peut refuser de l’exécuter sans motif légitime</v>
      </c>
      <c r="H41" t="str">
        <v>On ne peut sans motif légitime refuser de l’exécuter sous peine d’être poursuivi</v>
      </c>
      <c r="I41" t="str">
        <v>Aucune des autres réponses</v>
      </c>
    </row>
    <row r="42" spans="1:9" x14ac:dyDescent="0.25">
      <c r="B42" s="17" t="e">
        <f t="shared" ref="B42" si="5">FIND(" - ",A42)</f>
        <v>#VALUE!</v>
      </c>
      <c r="C42" s="17" t="e">
        <f t="shared" ref="C42:C82" si="6">RIGHT(A42, LEN(A42)-(B42+2))</f>
        <v>#VALUE!</v>
      </c>
      <c r="D42" t="e" cm="1">
        <f t="array" ref="D42">_xlfn.TEXTSPLIT(C42,"|")</f>
        <v>#VALUE!</v>
      </c>
    </row>
    <row r="43" spans="1:9" ht="15.75" x14ac:dyDescent="0.25">
      <c r="A43" s="14" t="s">
        <v>491</v>
      </c>
      <c r="B43" s="17">
        <f>FIND(" – ",A43)</f>
        <v>2</v>
      </c>
      <c r="C43" s="17" t="str">
        <f t="shared" si="6"/>
        <v>Le triangle du feu regroupe trois paramètres :|Le carburant, le combustible, l’inhibition|Le comburant, le combustible, l’énergie d’activation|Le refroidissement, le comburant, le carburant|Aucune des réponses n’est correcte</v>
      </c>
      <c r="D43" t="str" cm="1">
        <f t="array" ref="D43:H43">_xlfn.TEXTSPLIT(C43,"|")</f>
        <v>Le triangle du feu regroupe trois paramètres :</v>
      </c>
      <c r="E43" t="str">
        <v>Le carburant, le combustible, l’inhibition</v>
      </c>
      <c r="F43" t="str">
        <v>Le comburant, le combustible, l’énergie d’activation</v>
      </c>
      <c r="G43" t="str">
        <v>Le refroidissement, le comburant, le carburant</v>
      </c>
      <c r="H43" t="str">
        <v>Aucune des réponses n’est correcte</v>
      </c>
    </row>
    <row r="44" spans="1:9" ht="15.75" x14ac:dyDescent="0.25">
      <c r="A44" s="14" t="s">
        <v>492</v>
      </c>
      <c r="B44" s="17">
        <f t="shared" ref="B44:B82" si="7">FIND(" – ",A44)</f>
        <v>2</v>
      </c>
      <c r="C44" s="17" t="str">
        <f t="shared" si="6"/>
        <v>Quel est le danger des fumées ?|Leur forte teneur en oxygène|Leur opacité, leur toxicité et la chaleur|Leur couleur|Aucune des réponses précédentes</v>
      </c>
      <c r="D44" t="str" cm="1">
        <f t="array" ref="D44:H44">_xlfn.TEXTSPLIT(C44,"|")</f>
        <v>Quel est le danger des fumées ?</v>
      </c>
      <c r="E44" t="str">
        <v>Leur forte teneur en oxygène</v>
      </c>
      <c r="F44" t="str">
        <v>Leur opacité, leur toxicité et la chaleur</v>
      </c>
      <c r="G44" t="str">
        <v>Leur couleur</v>
      </c>
      <c r="H44" t="str">
        <v>Aucune des réponses précédentes</v>
      </c>
    </row>
    <row r="45" spans="1:9" ht="15.75" x14ac:dyDescent="0.25">
      <c r="A45" s="14" t="s">
        <v>493</v>
      </c>
      <c r="B45" s="17">
        <f t="shared" si="7"/>
        <v>2</v>
      </c>
      <c r="C45" s="17" t="str">
        <f t="shared" si="6"/>
        <v>Quelle est la meilleure façon d’éteindre un feu sur une fuite de gaz ?|Fermer la vanne de barrage|Utiliser un linge humide|Utiliser un RIA|Utiliser un extincteur|Aucune des autres réponses</v>
      </c>
      <c r="D45" t="str" cm="1">
        <f t="array" ref="D45:I45">_xlfn.TEXTSPLIT(C45,"|")</f>
        <v>Quelle est la meilleure façon d’éteindre un feu sur une fuite de gaz ?</v>
      </c>
      <c r="E45" t="str">
        <v>Fermer la vanne de barrage</v>
      </c>
      <c r="F45" t="str">
        <v>Utiliser un linge humide</v>
      </c>
      <c r="G45" t="str">
        <v>Utiliser un RIA</v>
      </c>
      <c r="H45" t="str">
        <v>Utiliser un extincteur</v>
      </c>
      <c r="I45" t="str">
        <v>Aucune des autres réponses</v>
      </c>
    </row>
    <row r="46" spans="1:9" ht="15.75" x14ac:dyDescent="0.25">
      <c r="A46" s="14" t="s">
        <v>494</v>
      </c>
      <c r="B46" s="17">
        <f t="shared" si="7"/>
        <v>2</v>
      </c>
      <c r="C46" s="17" t="str">
        <f t="shared" si="6"/>
        <v>Lors d’un incendie, quel effet est le plus dangereux pour l’homme ?|La pénétration de fumée par les vêtements|La pénétration de fumée par la conduction|La pénétration de fumée par la peau|La pénétration de fumée par les voies respiratoires|Aucune des autres réponses</v>
      </c>
      <c r="D46" t="str" cm="1">
        <f t="array" ref="D46:I46">_xlfn.TEXTSPLIT(C46,"|")</f>
        <v>Lors d’un incendie, quel effet est le plus dangereux pour l’homme ?</v>
      </c>
      <c r="E46" t="str">
        <v>La pénétration de fumée par les vêtements</v>
      </c>
      <c r="F46" t="str">
        <v>La pénétration de fumée par la conduction</v>
      </c>
      <c r="G46" t="str">
        <v>La pénétration de fumée par la peau</v>
      </c>
      <c r="H46" t="str">
        <v>La pénétration de fumée par les voies respiratoires</v>
      </c>
      <c r="I46" t="str">
        <v>Aucune des autres réponses</v>
      </c>
    </row>
    <row r="47" spans="1:9" ht="15.75" x14ac:dyDescent="0.25">
      <c r="A47" s="14" t="s">
        <v>495</v>
      </c>
      <c r="B47" s="17">
        <f t="shared" si="7"/>
        <v>2</v>
      </c>
      <c r="C47" s="17" t="str">
        <f t="shared" si="6"/>
        <v>Vous intervenez sur un feu d’armoire électrique, quelle précaution est utile ?|Vérifier que l’extincteur utilisé est à jet plein|Contacter préalablement le fournisseur d’électricité|Couper ou veiller à ce que l’électricité soit coupée|Mettre un appareil respiratoire isolant|Aucune des réponses précédentes</v>
      </c>
      <c r="D47" t="str" cm="1">
        <f t="array" ref="D47:I47">_xlfn.TEXTSPLIT(C47,"|")</f>
        <v>Vous intervenez sur un feu d’armoire électrique, quelle précaution est utile ?</v>
      </c>
      <c r="E47" t="str">
        <v>Vérifier que l’extincteur utilisé est à jet plein</v>
      </c>
      <c r="F47" t="str">
        <v>Contacter préalablement le fournisseur d’électricité</v>
      </c>
      <c r="G47" t="str">
        <v>Couper ou veiller à ce que l’électricité soit coupée</v>
      </c>
      <c r="H47" t="str">
        <v>Mettre un appareil respiratoire isolant</v>
      </c>
      <c r="I47" t="str">
        <v>Aucune des réponses précédentes</v>
      </c>
    </row>
    <row r="48" spans="1:9" ht="15.75" x14ac:dyDescent="0.25">
      <c r="A48" s="14" t="s">
        <v>496</v>
      </c>
      <c r="B48" s="17">
        <f t="shared" si="7"/>
        <v>2</v>
      </c>
      <c r="C48" s="17" t="str">
        <f t="shared" si="6"/>
        <v>Quelle est la distance d’attaque préconisée d’un extincteur à poudre ?|Environ 1 mètre|De 2 à 3 mètres|De 3 à 4 mètres|De 6 à 7 mètres|Aucune des autres réponses</v>
      </c>
      <c r="D48" t="str" cm="1">
        <f t="array" ref="D48:I48">_xlfn.TEXTSPLIT(C48,"|")</f>
        <v>Quelle est la distance d’attaque préconisée d’un extincteur à poudre ?</v>
      </c>
      <c r="E48" t="str">
        <v>Environ 1 mètre</v>
      </c>
      <c r="F48" t="str">
        <v>De 2 à 3 mètres</v>
      </c>
      <c r="G48" t="str">
        <v>De 3 à 4 mètres</v>
      </c>
      <c r="H48" t="str">
        <v>De 6 à 7 mètres</v>
      </c>
      <c r="I48" t="str">
        <v>Aucune des autres réponses</v>
      </c>
    </row>
    <row r="49" spans="1:9" ht="15.75" x14ac:dyDescent="0.25">
      <c r="A49" s="14" t="s">
        <v>497</v>
      </c>
      <c r="B49" s="17">
        <f t="shared" si="7"/>
        <v>2</v>
      </c>
      <c r="C49" s="17" t="str">
        <f t="shared" si="6"/>
        <v>Vous êtes en poste dans un laboratoire. Vous constatez un déclenchement d’incendie. Dans le local se trouvent un extincteur rouge et un extincteur vert, lequel allez-vous utiliser pour éteindre le feu ?|Rouge|Vert|Le rouge ou le vert, les 2 sont adaptés|Aucun des deux|Aucune des autres réponses</v>
      </c>
      <c r="D49" t="str" cm="1">
        <f t="array" ref="D49:I49">_xlfn.TEXTSPLIT(C49,"|")</f>
        <v>Vous êtes en poste dans un laboratoire. Vous constatez un déclenchement d’incendie. Dans le local se trouvent un extincteur rouge et un extincteur vert, lequel allez-vous utiliser pour éteindre le feu ?</v>
      </c>
      <c r="E49" t="str">
        <v>Rouge</v>
      </c>
      <c r="F49" t="str">
        <v>Vert</v>
      </c>
      <c r="G49" t="str">
        <v>Le rouge ou le vert, les 2 sont adaptés</v>
      </c>
      <c r="H49" t="str">
        <v>Aucun des deux</v>
      </c>
      <c r="I49" t="str">
        <v>Aucune des autres réponses</v>
      </c>
    </row>
    <row r="50" spans="1:9" ht="15.75" x14ac:dyDescent="0.25">
      <c r="A50" s="14" t="s">
        <v>498</v>
      </c>
      <c r="B50" s="17">
        <f t="shared" si="7"/>
        <v>2</v>
      </c>
      <c r="C50" s="17" t="str">
        <f t="shared" si="6"/>
        <v>Vous êtes en poste, les pompiers arrivent sur le site sinistré. Vous êtes informé que la voie d’accès principale est bloquée par un camion stationné. Que faites-vous en priorité ?|J’appelle les personnels de l’usine, au point de rassemblement, pour déplacer le véhicule|J’appelle la fourrière|Je propose aux pompiers d’emprunter un autre accès qui est libre|J’autorise les pompiers à pousser le camion, ils en ont l’obligation|Aucune des réponses précédentes</v>
      </c>
      <c r="D50" t="str" cm="1">
        <f t="array" ref="D50:I50">_xlfn.TEXTSPLIT(C50,"|")</f>
        <v>Vous êtes en poste, les pompiers arrivent sur le site sinistré. Vous êtes informé que la voie d’accès principale est bloquée par un camion stationné. Que faites-vous en priorité ?</v>
      </c>
      <c r="E50" t="str">
        <v>J’appelle les personnels de l’usine, au point de rassemblement, pour déplacer le véhicule</v>
      </c>
      <c r="F50" t="str">
        <v>J’appelle la fourrière</v>
      </c>
      <c r="G50" t="str">
        <v>Je propose aux pompiers d’emprunter un autre accès qui est libre</v>
      </c>
      <c r="H50" t="str">
        <v>J’autorise les pompiers à pousser le camion, ils en ont l’obligation</v>
      </c>
      <c r="I50" t="str">
        <v>Aucune des réponses précédentes</v>
      </c>
    </row>
    <row r="51" spans="1:9" ht="15.75" x14ac:dyDescent="0.25">
      <c r="A51" s="14" t="s">
        <v>499</v>
      </c>
      <c r="B51" s="17">
        <f t="shared" si="7"/>
        <v>2</v>
      </c>
      <c r="C51" s="17" t="str">
        <f t="shared" si="6"/>
        <v>Dans quel cas doit-on redouter un permis de feu ?|Lors de l’utilisation d’un véhicule muni d’un moteur|À l’occasion de travaux par points chauds|À la mise en place d’une zone fumeur|Lors de la mise en fonctionnement du groupe électrogène|Aucune des réponses précédentes</v>
      </c>
      <c r="D51" t="str" cm="1">
        <f t="array" ref="D51:I51">_xlfn.TEXTSPLIT(C51,"|")</f>
        <v>Dans quel cas doit-on redouter un permis de feu ?</v>
      </c>
      <c r="E51" t="str">
        <v>Lors de l’utilisation d’un véhicule muni d’un moteur</v>
      </c>
      <c r="F51" t="str">
        <v>À l’occasion de travaux par points chauds</v>
      </c>
      <c r="G51" t="str">
        <v>À la mise en place d’une zone fumeur</v>
      </c>
      <c r="H51" t="str">
        <v>Lors de la mise en fonctionnement du groupe électrogène</v>
      </c>
      <c r="I51" t="str">
        <v>Aucune des réponses précédentes</v>
      </c>
    </row>
    <row r="52" spans="1:9" ht="15.75" x14ac:dyDescent="0.25">
      <c r="A52" s="14" t="s">
        <v>500</v>
      </c>
      <c r="B52" s="17">
        <f t="shared" si="7"/>
        <v>3</v>
      </c>
      <c r="C52" s="17" t="str">
        <f t="shared" si="6"/>
        <v>Sur votre centrale incendie, un voyant rouge allumé signifie :|Un dérangement ou une anomalie|Que la centrale incendie est bien sous tension|Une alarme incendie|Que tout va bien dans l’établissement|Aucune des réponses précédentes</v>
      </c>
      <c r="D52" t="str" cm="1">
        <f t="array" ref="D52:I52">_xlfn.TEXTSPLIT(C52,"|")</f>
        <v>Sur votre centrale incendie, un voyant rouge allumé signifie :</v>
      </c>
      <c r="E52" t="str">
        <v>Un dérangement ou une anomalie</v>
      </c>
      <c r="F52" t="str">
        <v>Que la centrale incendie est bien sous tension</v>
      </c>
      <c r="G52" t="str">
        <v>Une alarme incendie</v>
      </c>
      <c r="H52" t="str">
        <v>Que tout va bien dans l’établissement</v>
      </c>
      <c r="I52" t="str">
        <v>Aucune des réponses précédentes</v>
      </c>
    </row>
    <row r="53" spans="1:9" ht="15.75" x14ac:dyDescent="0.25">
      <c r="A53" s="14" t="s">
        <v>501</v>
      </c>
      <c r="B53" s="17">
        <f t="shared" si="7"/>
        <v>3</v>
      </c>
      <c r="C53" s="17" t="str">
        <f t="shared" si="6"/>
        <v>Comment agit un extincteur à eau sur le feu ?|Par étouffement|Par soufflement|Par refroidissement|Par inhibition|Aucune des réponses précédentes</v>
      </c>
      <c r="D53" t="str" cm="1">
        <f t="array" ref="D53:I53">_xlfn.TEXTSPLIT(C53,"|")</f>
        <v>Comment agit un extincteur à eau sur le feu ?</v>
      </c>
      <c r="E53" t="str">
        <v>Par étouffement</v>
      </c>
      <c r="F53" t="str">
        <v>Par soufflement</v>
      </c>
      <c r="G53" t="str">
        <v>Par refroidissement</v>
      </c>
      <c r="H53" t="str">
        <v>Par inhibition</v>
      </c>
      <c r="I53" t="str">
        <v>Aucune des réponses précédentes</v>
      </c>
    </row>
    <row r="54" spans="1:9" ht="15.75" x14ac:dyDescent="0.25">
      <c r="A54" s="14" t="s">
        <v>502</v>
      </c>
      <c r="B54" s="17">
        <f t="shared" si="7"/>
        <v>3</v>
      </c>
      <c r="C54" s="17" t="str">
        <f t="shared" si="6"/>
        <v>Vous intervenez sur un feu d’armoire électrique. Quel extincteur utilisez-vous de préférence ?|Un extincteur à poudre|Un extincteur au CO₂|Un extincteur à eau|Une douche portative|Aucune des réponses précédentes</v>
      </c>
      <c r="D54" t="str" cm="1">
        <f t="array" ref="D54:I54">_xlfn.TEXTSPLIT(C54,"|")</f>
        <v>Vous intervenez sur un feu d’armoire électrique. Quel extincteur utilisez-vous de préférence ?</v>
      </c>
      <c r="E54" t="str">
        <v>Un extincteur à poudre</v>
      </c>
      <c r="F54" t="str">
        <v>Un extincteur au CO₂</v>
      </c>
      <c r="G54" t="str">
        <v>Un extincteur à eau</v>
      </c>
      <c r="H54" t="str">
        <v>Une douche portative</v>
      </c>
      <c r="I54" t="str">
        <v>Aucune des réponses précédentes</v>
      </c>
    </row>
    <row r="55" spans="1:9" ht="15.75" x14ac:dyDescent="0.25">
      <c r="A55" s="14" t="s">
        <v>503</v>
      </c>
      <c r="B55" s="17">
        <f t="shared" si="7"/>
        <v>3</v>
      </c>
      <c r="C55" s="17" t="str">
        <f t="shared" si="6"/>
        <v>Une des causes de départ de feu peut être ?|Les causes surnaturelles|Les causes humaines|Les causes législatives|Les causes perdues|Aucune des autres réponses</v>
      </c>
      <c r="D55" t="str" cm="1">
        <f t="array" ref="D55:I55">_xlfn.TEXTSPLIT(C55,"|")</f>
        <v>Une des causes de départ de feu peut être ?</v>
      </c>
      <c r="E55" t="str">
        <v>Les causes surnaturelles</v>
      </c>
      <c r="F55" t="str">
        <v>Les causes humaines</v>
      </c>
      <c r="G55" t="str">
        <v>Les causes législatives</v>
      </c>
      <c r="H55" t="str">
        <v>Les causes perdues</v>
      </c>
      <c r="I55" t="str">
        <v>Aucune des autres réponses</v>
      </c>
    </row>
    <row r="56" spans="1:9" ht="15.75" x14ac:dyDescent="0.25">
      <c r="A56" s="14" t="s">
        <v>504</v>
      </c>
      <c r="B56" s="17">
        <f t="shared" si="7"/>
        <v>3</v>
      </c>
      <c r="C56" s="17" t="str">
        <f t="shared" si="6"/>
        <v>Quelle est la fonction de l’E.C.S. ?|De collecter les informations provenant des détecteurs volumétriques|De mettre en sécurité le bâtiment|De collecter les informations provenant des DAI et des DM|De fournir de l’Eau Conditionnée Suffisante|Aucune des autres réponses</v>
      </c>
      <c r="D56" t="str" cm="1">
        <f t="array" ref="D56:I56">_xlfn.TEXTSPLIT(C56,"|")</f>
        <v>Quelle est la fonction de l’E.C.S. ?</v>
      </c>
      <c r="E56" t="str">
        <v>De collecter les informations provenant des détecteurs volumétriques</v>
      </c>
      <c r="F56" t="str">
        <v>De mettre en sécurité le bâtiment</v>
      </c>
      <c r="G56" t="str">
        <v>De collecter les informations provenant des DAI et des DM</v>
      </c>
      <c r="H56" t="str">
        <v>De fournir de l’Eau Conditionnée Suffisante</v>
      </c>
      <c r="I56" t="str">
        <v>Aucune des autres réponses</v>
      </c>
    </row>
    <row r="57" spans="1:9" ht="15.75" x14ac:dyDescent="0.25">
      <c r="A57" s="14" t="s">
        <v>505</v>
      </c>
      <c r="B57" s="17">
        <f t="shared" si="7"/>
        <v>3</v>
      </c>
      <c r="C57" s="17" t="str">
        <f t="shared" si="6"/>
        <v>Le feu d’origine électrique est un feu de classe :|A|B|C|Aucune des autres réponses|E</v>
      </c>
      <c r="D57" t="str" cm="1">
        <f t="array" ref="D57:I57">_xlfn.TEXTSPLIT(C57,"|")</f>
        <v>Le feu d’origine électrique est un feu de classe :</v>
      </c>
      <c r="E57" t="str">
        <v>A</v>
      </c>
      <c r="F57" t="str">
        <v>B</v>
      </c>
      <c r="G57" t="str">
        <v>C</v>
      </c>
      <c r="H57" t="str">
        <v>Aucune des autres réponses</v>
      </c>
      <c r="I57" t="str">
        <v>E</v>
      </c>
    </row>
    <row r="58" spans="1:9" ht="15.75" x14ac:dyDescent="0.25">
      <c r="A58" s="14" t="s">
        <v>506</v>
      </c>
      <c r="B58" s="17">
        <f t="shared" si="7"/>
        <v>3</v>
      </c>
      <c r="C58" s="17" t="str">
        <f t="shared" si="6"/>
        <v>À quoi sert l’alarme générale sélective ?|À prévenir une catégorie de personnel|À informer le PC pour effectuer une levée de doute|À informer le directeur|À informer les pompiers|Aucune des autres réponses</v>
      </c>
      <c r="D58" t="str" cm="1">
        <f t="array" ref="D58:I58">_xlfn.TEXTSPLIT(C58,"|")</f>
        <v>À quoi sert l’alarme générale sélective ?</v>
      </c>
      <c r="E58" t="str">
        <v>À prévenir une catégorie de personnel</v>
      </c>
      <c r="F58" t="str">
        <v>À informer le PC pour effectuer une levée de doute</v>
      </c>
      <c r="G58" t="str">
        <v>À informer le directeur</v>
      </c>
      <c r="H58" t="str">
        <v>À informer les pompiers</v>
      </c>
      <c r="I58" t="str">
        <v>Aucune des autres réponses</v>
      </c>
    </row>
    <row r="59" spans="1:9" ht="15.75" x14ac:dyDescent="0.25">
      <c r="A59" s="14" t="s">
        <v>507</v>
      </c>
      <c r="B59" s="17">
        <f t="shared" si="7"/>
        <v>3</v>
      </c>
      <c r="C59" s="17" t="str">
        <f t="shared" si="6"/>
        <v>Qu’est-ce qui caractérise un extincteur à CO₂ ?|Son manomètre|Sa couleur|Son tromblon|Sa forme ronde|Aucune des autres réponses</v>
      </c>
      <c r="D59" t="str" cm="1">
        <f t="array" ref="D59:I59">_xlfn.TEXTSPLIT(C59,"|")</f>
        <v>Qu’est-ce qui caractérise un extincteur à CO₂ ?</v>
      </c>
      <c r="E59" t="str">
        <v>Son manomètre</v>
      </c>
      <c r="F59" t="str">
        <v>Sa couleur</v>
      </c>
      <c r="G59" t="str">
        <v>Son tromblon</v>
      </c>
      <c r="H59" t="str">
        <v>Sa forme ronde</v>
      </c>
      <c r="I59" t="str">
        <v>Aucune des autres réponses</v>
      </c>
    </row>
    <row r="60" spans="1:9" ht="15.75" x14ac:dyDescent="0.25">
      <c r="A60" s="14" t="s">
        <v>508</v>
      </c>
      <c r="B60" s="17">
        <f t="shared" si="7"/>
        <v>3</v>
      </c>
      <c r="C60" s="17" t="str">
        <f t="shared" si="6"/>
        <v>Un extincteur au CO₂ est-il un extincteur à pression permanente ?|Oui|Oui s’il est muni d’un densimètre|Non|Non il est rechargeable|Aucune des autres réponses</v>
      </c>
      <c r="D60" t="str" cm="1">
        <f t="array" ref="D60:I60">_xlfn.TEXTSPLIT(C60,"|")</f>
        <v>Un extincteur au CO₂ est-il un extincteur à pression permanente ?</v>
      </c>
      <c r="E60" t="str">
        <v>Oui</v>
      </c>
      <c r="F60" t="str">
        <v>Oui s’il est muni d’un densimètre</v>
      </c>
      <c r="G60" t="str">
        <v>Non</v>
      </c>
      <c r="H60" t="str">
        <v>Non il est rechargeable</v>
      </c>
      <c r="I60" t="str">
        <v>Aucune des autres réponses</v>
      </c>
    </row>
    <row r="61" spans="1:9" ht="15.75" x14ac:dyDescent="0.25">
      <c r="A61" s="14" t="s">
        <v>509</v>
      </c>
      <c r="B61" s="17">
        <f t="shared" si="7"/>
        <v>3</v>
      </c>
      <c r="C61" s="17" t="str">
        <f t="shared" si="6"/>
        <v>Vous êtes en poste au PC sécurité et une Alarme Incendie retentit :|Vous arrêtez immédiatement le signal sonore et réarmez la zone. Ce n’est sûrement rien, comme d’habitude|Vous fixez ce que vous faisiez. Vous agissez toujours le temps d’envoyer le rondier à son retour de ronde|Vous contactez sur le champ votre collègue pour qu’il effectue immédiatement une levée de doute sur zone|Vous appuyez sur l’évacuation générale pour être sûr que tout le monde évacue|Aucune des réponses précédentes</v>
      </c>
      <c r="D61" t="str" cm="1">
        <f t="array" ref="D61:I61">_xlfn.TEXTSPLIT(C61,"|")</f>
        <v>Vous êtes en poste au PC sécurité et une Alarme Incendie retentit :</v>
      </c>
      <c r="E61" t="str">
        <v>Vous arrêtez immédiatement le signal sonore et réarmez la zone. Ce n’est sûrement rien, comme d’habitude</v>
      </c>
      <c r="F61" t="str">
        <v>Vous fixez ce que vous faisiez. Vous agissez toujours le temps d’envoyer le rondier à son retour de ronde</v>
      </c>
      <c r="G61" t="str">
        <v>Vous contactez sur le champ votre collègue pour qu’il effectue immédiatement une levée de doute sur zone</v>
      </c>
      <c r="H61" t="str">
        <v>Vous appuyez sur l’évacuation générale pour être sûr que tout le monde évacue</v>
      </c>
      <c r="I61" t="str">
        <v>Aucune des réponses précédentes</v>
      </c>
    </row>
    <row r="62" spans="1:9" ht="15.75" x14ac:dyDescent="0.25">
      <c r="A62" s="14" t="s">
        <v>510</v>
      </c>
      <c r="B62" s="17">
        <f t="shared" si="7"/>
        <v>3</v>
      </c>
      <c r="C62" s="17" t="str">
        <f t="shared" si="6"/>
        <v>Quelle est la première action d’un APS lors d’un déclenchement d’une alarme incendie ?|Faire une levée de doute|Appeler les pompiers|Arrêter le signal sonore|Réarmer le SSI|Aucune des réponses précédentes</v>
      </c>
      <c r="D62" t="str" cm="1">
        <f t="array" ref="D62:I62">_xlfn.TEXTSPLIT(C62,"|")</f>
        <v>Quelle est la première action d’un APS lors d’un déclenchement d’une alarme incendie ?</v>
      </c>
      <c r="E62" t="str">
        <v>Faire une levée de doute</v>
      </c>
      <c r="F62" t="str">
        <v>Appeler les pompiers</v>
      </c>
      <c r="G62" t="str">
        <v>Arrêter le signal sonore</v>
      </c>
      <c r="H62" t="str">
        <v>Réarmer le SSI</v>
      </c>
      <c r="I62" t="str">
        <v>Aucune des réponses précédentes</v>
      </c>
    </row>
    <row r="63" spans="1:9" ht="15.75" x14ac:dyDescent="0.25">
      <c r="A63" s="14" t="s">
        <v>511</v>
      </c>
      <c r="B63" s="17">
        <f t="shared" si="7"/>
        <v>3</v>
      </c>
      <c r="C63" s="17" t="str">
        <f t="shared" si="6"/>
        <v>Combien de types de pressions différentes trouve-t-on sur un extincteur ?|Aucun|Une|Deux|Quatre|Aucune des autres réponses</v>
      </c>
      <c r="D63" t="str" cm="1">
        <f t="array" ref="D63:I63">_xlfn.TEXTSPLIT(C63,"|")</f>
        <v>Combien de types de pressions différentes trouve-t-on sur un extincteur ?</v>
      </c>
      <c r="E63" t="str">
        <v>Aucun</v>
      </c>
      <c r="F63" t="str">
        <v>Une</v>
      </c>
      <c r="G63" t="str">
        <v>Deux</v>
      </c>
      <c r="H63" t="str">
        <v>Quatre</v>
      </c>
      <c r="I63" t="str">
        <v>Aucune des autres réponses</v>
      </c>
    </row>
    <row r="64" spans="1:9" ht="15.75" x14ac:dyDescent="0.25">
      <c r="A64" s="14" t="s">
        <v>512</v>
      </c>
      <c r="B64" s="17">
        <f t="shared" si="7"/>
        <v>3</v>
      </c>
      <c r="C64" s="17" t="str">
        <f t="shared" si="6"/>
        <v>En cas de départ de feu, quelle doit être l’attitude de l’agent de sécurité ?|Tenter l’extinction du départ de feu|Ouvrir les portes et les fenêtres avant d’évacuer|Récupérer toutes mes affaires avant d’évacuer|Attendre l’arrivée des pompiers pour évacuer|Aucune des autres réponses</v>
      </c>
      <c r="D64" t="str" cm="1">
        <f t="array" ref="D64:I64">_xlfn.TEXTSPLIT(C64,"|")</f>
        <v>En cas de départ de feu, quelle doit être l’attitude de l’agent de sécurité ?</v>
      </c>
      <c r="E64" t="str">
        <v>Tenter l’extinction du départ de feu</v>
      </c>
      <c r="F64" t="str">
        <v>Ouvrir les portes et les fenêtres avant d’évacuer</v>
      </c>
      <c r="G64" t="str">
        <v>Récupérer toutes mes affaires avant d’évacuer</v>
      </c>
      <c r="H64" t="str">
        <v>Attendre l’arrivée des pompiers pour évacuer</v>
      </c>
      <c r="I64" t="str">
        <v>Aucune des autres réponses</v>
      </c>
    </row>
    <row r="65" spans="1:9" ht="15.75" x14ac:dyDescent="0.25">
      <c r="A65" s="14" t="s">
        <v>513</v>
      </c>
      <c r="B65" s="17">
        <f t="shared" si="7"/>
        <v>3</v>
      </c>
      <c r="C65" s="17" t="str">
        <f t="shared" si="6"/>
        <v>Quel cas utilise-t-on de préférence un extincteur à eau pulvérisé ?|Feu d’origine électrique|Feu de poubelles|Feu d’essence|Feu de métaux|Aucune des autres réponses</v>
      </c>
      <c r="D65" t="str" cm="1">
        <f t="array" ref="D65:I65">_xlfn.TEXTSPLIT(C65,"|")</f>
        <v>Quel cas utilise-t-on de préférence un extincteur à eau pulvérisé ?</v>
      </c>
      <c r="E65" t="str">
        <v>Feu d’origine électrique</v>
      </c>
      <c r="F65" t="str">
        <v>Feu de poubelles</v>
      </c>
      <c r="G65" t="str">
        <v>Feu d’essence</v>
      </c>
      <c r="H65" t="str">
        <v>Feu de métaux</v>
      </c>
      <c r="I65" t="str">
        <v>Aucune des autres réponses</v>
      </c>
    </row>
    <row r="66" spans="1:9" ht="15.75" x14ac:dyDescent="0.25">
      <c r="A66" s="14" t="s">
        <v>514</v>
      </c>
      <c r="B66" s="17">
        <f t="shared" si="7"/>
        <v>3</v>
      </c>
      <c r="C66" s="17" t="str">
        <f t="shared" si="6"/>
        <v>Que désigne un E.R.P. ?|Établissement Recevant le Président|Établissement Recevant du Personnel|Établissement Recevant du Public|Établissement Recevant le Plus grand nombre|Aucune des autres réponses</v>
      </c>
      <c r="D66" t="str" cm="1">
        <f t="array" ref="D66:I66">_xlfn.TEXTSPLIT(C66,"|")</f>
        <v>Que désigne un E.R.P. ?</v>
      </c>
      <c r="E66" t="str">
        <v>Établissement Recevant le Président</v>
      </c>
      <c r="F66" t="str">
        <v>Établissement Recevant du Personnel</v>
      </c>
      <c r="G66" t="str">
        <v>Établissement Recevant du Public</v>
      </c>
      <c r="H66" t="str">
        <v>Établissement Recevant le Plus grand nombre</v>
      </c>
      <c r="I66" t="str">
        <v>Aucune des autres réponses</v>
      </c>
    </row>
    <row r="67" spans="1:9" ht="15.75" x14ac:dyDescent="0.25">
      <c r="A67" s="14" t="s">
        <v>515</v>
      </c>
      <c r="B67" s="17">
        <f t="shared" si="7"/>
        <v>3</v>
      </c>
      <c r="C67" s="17" t="str">
        <f t="shared" si="6"/>
        <v>Un extincteur au CO₂ est-il un extincteur à pression auxiliaire ?|Oui|Oui s’il est muni d’un anémomètre|Non |Non s’il est rechargeable|Aucune des autres réponses</v>
      </c>
      <c r="D67" t="str" cm="1">
        <f t="array" ref="D67:I67">_xlfn.TEXTSPLIT(C67,"|")</f>
        <v>Un extincteur au CO₂ est-il un extincteur à pression auxiliaire ?</v>
      </c>
      <c r="E67" t="str">
        <v>Oui</v>
      </c>
      <c r="F67" t="str">
        <v>Oui s’il est muni d’un anémomètre</v>
      </c>
      <c r="G67" t="str">
        <v xml:space="preserve">Non </v>
      </c>
      <c r="H67" t="str">
        <v>Non s’il est rechargeable</v>
      </c>
      <c r="I67" t="str">
        <v>Aucune des autres réponses</v>
      </c>
    </row>
    <row r="68" spans="1:9" ht="15.75" x14ac:dyDescent="0.25">
      <c r="A68" s="14" t="s">
        <v>516</v>
      </c>
      <c r="B68" s="17">
        <f t="shared" si="7"/>
        <v>3</v>
      </c>
      <c r="C68" s="17" t="str">
        <f t="shared" si="6"/>
        <v>Qu’est-ce qu’un I.G.H. ?|Immeuble de Groupement Habilité|Installation de Grande Hauteur|Installation Grandement Habilitée|Immeuble de Grande Hauteur|Aucune des autres réponses</v>
      </c>
      <c r="D68" t="str" cm="1">
        <f t="array" ref="D68:I68">_xlfn.TEXTSPLIT(C68,"|")</f>
        <v>Qu’est-ce qu’un I.G.H. ?</v>
      </c>
      <c r="E68" t="str">
        <v>Immeuble de Groupement Habilité</v>
      </c>
      <c r="F68" t="str">
        <v>Installation de Grande Hauteur</v>
      </c>
      <c r="G68" t="str">
        <v>Installation Grandement Habilitée</v>
      </c>
      <c r="H68" t="str">
        <v>Immeuble de Grande Hauteur</v>
      </c>
      <c r="I68" t="str">
        <v>Aucune des autres réponses</v>
      </c>
    </row>
    <row r="69" spans="1:9" ht="15.75" x14ac:dyDescent="0.25">
      <c r="A69" s="14" t="s">
        <v>517</v>
      </c>
      <c r="B69" s="17">
        <f t="shared" si="7"/>
        <v>3</v>
      </c>
      <c r="C69" s="17" t="str">
        <f t="shared" si="6"/>
        <v>Un DAI à clé sollicité, comment se nomme l’alarme qui sonne au PCS ?|Alarme intrusion|Alarme restreinte|Alarme générale sélective|Alarme générale|Aucune des autres réponses</v>
      </c>
      <c r="D69" t="str" cm="1">
        <f t="array" ref="D69:I69">_xlfn.TEXTSPLIT(C69,"|")</f>
        <v>Un DAI à clé sollicité, comment se nomme l’alarme qui sonne au PCS ?</v>
      </c>
      <c r="E69" t="str">
        <v>Alarme intrusion</v>
      </c>
      <c r="F69" t="str">
        <v>Alarme restreinte</v>
      </c>
      <c r="G69" t="str">
        <v>Alarme générale sélective</v>
      </c>
      <c r="H69" t="str">
        <v>Alarme générale</v>
      </c>
      <c r="I69" t="str">
        <v>Aucune des autres réponses</v>
      </c>
    </row>
    <row r="70" spans="1:9" ht="15.75" x14ac:dyDescent="0.25">
      <c r="A70" s="14" t="s">
        <v>518</v>
      </c>
      <c r="B70" s="17">
        <f t="shared" si="7"/>
        <v>3</v>
      </c>
      <c r="C70" s="17" t="str">
        <f t="shared" si="6"/>
        <v>Quel élément fait partie du triangle du feu ?|Le refroidissement|La combustion|La conduction|Le comburant|Aucune des autres réponses</v>
      </c>
      <c r="D70" t="str" cm="1">
        <f t="array" ref="D70:I70">_xlfn.TEXTSPLIT(C70,"|")</f>
        <v>Quel élément fait partie du triangle du feu ?</v>
      </c>
      <c r="E70" t="str">
        <v>Le refroidissement</v>
      </c>
      <c r="F70" t="str">
        <v>La combustion</v>
      </c>
      <c r="G70" t="str">
        <v>La conduction</v>
      </c>
      <c r="H70" t="str">
        <v>Le comburant</v>
      </c>
      <c r="I70" t="str">
        <v>Aucune des autres réponses</v>
      </c>
    </row>
    <row r="71" spans="1:9" ht="15.75" x14ac:dyDescent="0.25">
      <c r="A71" s="14" t="s">
        <v>519</v>
      </c>
      <c r="B71" s="17">
        <f t="shared" si="7"/>
        <v>3</v>
      </c>
      <c r="C71" s="17" t="str">
        <f t="shared" si="6"/>
        <v>Combien y a-t-il de classes de feu ?|Une|Deux|Cinq|Six|Aucune des autres réponses</v>
      </c>
      <c r="D71" t="str" cm="1">
        <f t="array" ref="D71:I71">_xlfn.TEXTSPLIT(C71,"|")</f>
        <v>Combien y a-t-il de classes de feu ?</v>
      </c>
      <c r="E71" t="str">
        <v>Une</v>
      </c>
      <c r="F71" t="str">
        <v>Deux</v>
      </c>
      <c r="G71" t="str">
        <v>Cinq</v>
      </c>
      <c r="H71" t="str">
        <v>Six</v>
      </c>
      <c r="I71" t="str">
        <v>Aucune des autres réponses</v>
      </c>
    </row>
    <row r="72" spans="1:9" ht="15.75" x14ac:dyDescent="0.25">
      <c r="A72" s="14" t="s">
        <v>520</v>
      </c>
      <c r="B72" s="17">
        <f t="shared" si="7"/>
        <v>3</v>
      </c>
      <c r="C72" s="17" t="str">
        <f t="shared" si="6"/>
        <v>Quelle est la distance d’attaque préconisée d’un extincteur à eau ?|Environ 1 mètre|De 2 à 3 mètres|De 3 à 4 mètres|De 6 à 7 mètres|Aucune des autres réponses</v>
      </c>
      <c r="D72" t="str" cm="1">
        <f t="array" ref="D72:I72">_xlfn.TEXTSPLIT(C72,"|")</f>
        <v>Quelle est la distance d’attaque préconisée d’un extincteur à eau ?</v>
      </c>
      <c r="E72" t="str">
        <v>Environ 1 mètre</v>
      </c>
      <c r="F72" t="str">
        <v>De 2 à 3 mètres</v>
      </c>
      <c r="G72" t="str">
        <v>De 3 à 4 mètres</v>
      </c>
      <c r="H72" t="str">
        <v>De 6 à 7 mètres</v>
      </c>
      <c r="I72" t="str">
        <v>Aucune des autres réponses</v>
      </c>
    </row>
    <row r="73" spans="1:9" ht="15.75" x14ac:dyDescent="0.25">
      <c r="A73" s="14" t="s">
        <v>521</v>
      </c>
      <c r="B73" s="17">
        <f t="shared" si="7"/>
        <v>3</v>
      </c>
      <c r="C73" s="17" t="str">
        <f t="shared" si="6"/>
        <v>Vous effectuez une ronde, un ouvrier d’une société extérieure réalise des travaux par points chauds. À priori, vous n’avez ni consignes, ni permis feu. Que faites-vous ?|Je contacte le PC sécurité pour demander la conduite à tenir|Je passe mon chemin pour laisser l’ouvrier faire son travail|Je contacte le PCS pour vérification et selon consigne je fais cesser les travaux|Je verbalise l’ouvrier contrevenant|Aucune des autres réponses</v>
      </c>
      <c r="D73" t="str" cm="1">
        <f t="array" ref="D73:I73">_xlfn.TEXTSPLIT(C73,"|")</f>
        <v>Vous effectuez une ronde, un ouvrier d’une société extérieure réalise des travaux par points chauds. À priori, vous n’avez ni consignes, ni permis feu. Que faites-vous ?</v>
      </c>
      <c r="E73" t="str">
        <v>Je contacte le PC sécurité pour demander la conduite à tenir</v>
      </c>
      <c r="F73" t="str">
        <v>Je passe mon chemin pour laisser l’ouvrier faire son travail</v>
      </c>
      <c r="G73" t="str">
        <v>Je contacte le PCS pour vérification et selon consigne je fais cesser les travaux</v>
      </c>
      <c r="H73" t="str">
        <v>Je verbalise l’ouvrier contrevenant</v>
      </c>
      <c r="I73" t="str">
        <v>Aucune des autres réponses</v>
      </c>
    </row>
    <row r="74" spans="1:9" ht="15.75" x14ac:dyDescent="0.25">
      <c r="A74" s="14" t="s">
        <v>522</v>
      </c>
      <c r="B74" s="17">
        <f t="shared" si="7"/>
        <v>3</v>
      </c>
      <c r="C74" s="17" t="str">
        <f t="shared" si="6"/>
        <v>Lors de la mise en place d’un permis feu, quelles consignes sont importantes à confier à l’exécutant ?|Aveugler les ouvertures, interstices, fissures, …|Dégager largement la zone de travail de tout matériel combustible ou inflammable|Prendre toute disposition pour éviter le déclenchement du système de détection incendie|Surveiller les projections incandescentes et les points de chute pendant le travail|Toutes ces consignes sont à prendre en compte</v>
      </c>
      <c r="D74" t="str" cm="1">
        <f t="array" ref="D74:I74">_xlfn.TEXTSPLIT(C74,"|")</f>
        <v>Lors de la mise en place d’un permis feu, quelles consignes sont importantes à confier à l’exécutant ?</v>
      </c>
      <c r="E74" t="str">
        <v>Aveugler les ouvertures, interstices, fissures, …</v>
      </c>
      <c r="F74" t="str">
        <v>Dégager largement la zone de travail de tout matériel combustible ou inflammable</v>
      </c>
      <c r="G74" t="str">
        <v>Prendre toute disposition pour éviter le déclenchement du système de détection incendie</v>
      </c>
      <c r="H74" t="str">
        <v>Surveiller les projections incandescentes et les points de chute pendant le travail</v>
      </c>
      <c r="I74" t="str">
        <v>Toutes ces consignes sont à prendre en compte</v>
      </c>
    </row>
    <row r="75" spans="1:9" ht="15.75" x14ac:dyDescent="0.25">
      <c r="A75" s="14" t="s">
        <v>523</v>
      </c>
      <c r="B75" s="17">
        <f t="shared" si="7"/>
        <v>3</v>
      </c>
      <c r="C75" s="17" t="str">
        <f t="shared" si="6"/>
        <v>Est-il possible qu’un feu s’éteigne en supprimant un des éléments du triangle du feu ?|Oui|Oui si les conditions météorologiques sont favorables|Non |Non, sans le savoir-faire d’un expert métier|Aucune des autres réponses</v>
      </c>
      <c r="D75" t="str" cm="1">
        <f t="array" ref="D75:I75">_xlfn.TEXTSPLIT(C75,"|")</f>
        <v>Est-il possible qu’un feu s’éteigne en supprimant un des éléments du triangle du feu ?</v>
      </c>
      <c r="E75" t="str">
        <v>Oui</v>
      </c>
      <c r="F75" t="str">
        <v>Oui si les conditions météorologiques sont favorables</v>
      </c>
      <c r="G75" t="str">
        <v xml:space="preserve">Non </v>
      </c>
      <c r="H75" t="str">
        <v>Non, sans le savoir-faire d’un expert métier</v>
      </c>
      <c r="I75" t="str">
        <v>Aucune des autres réponses</v>
      </c>
    </row>
    <row r="76" spans="1:9" ht="15.75" x14ac:dyDescent="0.25">
      <c r="A76" s="14" t="s">
        <v>524</v>
      </c>
      <c r="B76" s="17">
        <f t="shared" si="7"/>
        <v>3</v>
      </c>
      <c r="C76" s="17" t="str">
        <f t="shared" si="6"/>
        <v>En cas de départ de feu, quelle doit être l’attitude des occupants ? |Fermer les portes et les fenêtres en évacuant|Ouvrir les portes et les fenêtres avant d’évacuer|Récupérer toutes mes affaires avant d’évacuer|Attendre l’arrivée des pompiers pour évacuer|Aucune des autres réponses</v>
      </c>
      <c r="D76" t="str" cm="1">
        <f t="array" ref="D76:I76">_xlfn.TEXTSPLIT(C76,"|")</f>
        <v xml:space="preserve">En cas de départ de feu, quelle doit être l’attitude des occupants ? </v>
      </c>
      <c r="E76" t="str">
        <v>Fermer les portes et les fenêtres en évacuant</v>
      </c>
      <c r="F76" t="str">
        <v>Ouvrir les portes et les fenêtres avant d’évacuer</v>
      </c>
      <c r="G76" t="str">
        <v>Récupérer toutes mes affaires avant d’évacuer</v>
      </c>
      <c r="H76" t="str">
        <v>Attendre l’arrivée des pompiers pour évacuer</v>
      </c>
      <c r="I76" t="str">
        <v>Aucune des autres réponses</v>
      </c>
    </row>
    <row r="77" spans="1:9" ht="15.75" x14ac:dyDescent="0.25">
      <c r="A77" s="14" t="s">
        <v>525</v>
      </c>
      <c r="B77" s="17">
        <f t="shared" si="7"/>
        <v>3</v>
      </c>
      <c r="C77" s="17" t="str">
        <f t="shared" si="6"/>
        <v>Quels sont les éléments indispensables à la combustion ?|Une propagation, un carburant, un combustible|Du liquide, du vent, du carburant|Un combustible, un comburant, une énergie d’activation|Un vent, une étincelle, une matière inflammable|Aucune des autres réponses</v>
      </c>
      <c r="D77" t="str" cm="1">
        <f t="array" ref="D77:I77">_xlfn.TEXTSPLIT(C77,"|")</f>
        <v>Quels sont les éléments indispensables à la combustion ?</v>
      </c>
      <c r="E77" t="str">
        <v>Une propagation, un carburant, un combustible</v>
      </c>
      <c r="F77" t="str">
        <v>Du liquide, du vent, du carburant</v>
      </c>
      <c r="G77" t="str">
        <v>Un combustible, un comburant, une énergie d’activation</v>
      </c>
      <c r="H77" t="str">
        <v>Un vent, une étincelle, une matière inflammable</v>
      </c>
      <c r="I77" t="str">
        <v>Aucune des autres réponses</v>
      </c>
    </row>
    <row r="78" spans="1:9" ht="15.75" x14ac:dyDescent="0.25">
      <c r="A78" s="14" t="s">
        <v>526</v>
      </c>
      <c r="B78" s="17">
        <f t="shared" si="7"/>
        <v>3</v>
      </c>
      <c r="C78" s="17" t="str">
        <f t="shared" si="6"/>
        <v>Que signifie le terme R.I.A. ? |Robinet d’intervention alimenté|Robinet d’incident arrimé|Robinet d’incident armé|Robinet d’incendie armé|Aucune des autres réponses</v>
      </c>
      <c r="D78" t="str" cm="1">
        <f t="array" ref="D78:I78">_xlfn.TEXTSPLIT(C78,"|")</f>
        <v xml:space="preserve">Que signifie le terme R.I.A. ? </v>
      </c>
      <c r="E78" t="str">
        <v>Robinet d’intervention alimenté</v>
      </c>
      <c r="F78" t="str">
        <v>Robinet d’incident arrimé</v>
      </c>
      <c r="G78" t="str">
        <v>Robinet d’incident armé</v>
      </c>
      <c r="H78" t="str">
        <v>Robinet d’incendie armé</v>
      </c>
      <c r="I78" t="str">
        <v>Aucune des autres réponses</v>
      </c>
    </row>
    <row r="79" spans="1:9" ht="15.75" x14ac:dyDescent="0.25">
      <c r="A79" s="14" t="s">
        <v>527</v>
      </c>
      <c r="B79" s="17">
        <f t="shared" si="7"/>
        <v>3</v>
      </c>
      <c r="C79" s="17" t="str">
        <f t="shared" si="6"/>
        <v>L’air est composé environ à 21% :|D’azote|D’oxygène|De dioxyde de carbone|De gaz rares|Aucune des autres réponses</v>
      </c>
      <c r="D79" t="str" cm="1">
        <f t="array" ref="D79:I79">_xlfn.TEXTSPLIT(C79,"|")</f>
        <v>L’air est composé environ à 21% :</v>
      </c>
      <c r="E79" t="str">
        <v>D’azote</v>
      </c>
      <c r="F79" t="str">
        <v>D’oxygène</v>
      </c>
      <c r="G79" t="str">
        <v>De dioxyde de carbone</v>
      </c>
      <c r="H79" t="str">
        <v>De gaz rares</v>
      </c>
      <c r="I79" t="str">
        <v>Aucune des autres réponses</v>
      </c>
    </row>
    <row r="80" spans="1:9" ht="15.75" x14ac:dyDescent="0.25">
      <c r="A80" s="14" t="s">
        <v>528</v>
      </c>
      <c r="B80" s="17">
        <f t="shared" si="7"/>
        <v>3</v>
      </c>
      <c r="C80" s="17" t="str">
        <f t="shared" si="6"/>
        <v>La classe de feu F concerne :|Les feux de forêts|Les feux de dépôt graisseux servant d’auxiliaires de cuisson|Les feux de liquides incombustibles|Rien car cette classe n’existe pas|Aucune des autres réponses</v>
      </c>
      <c r="D80" t="str" cm="1">
        <f t="array" ref="D80:I80">_xlfn.TEXTSPLIT(C80,"|")</f>
        <v>La classe de feu F concerne :</v>
      </c>
      <c r="E80" t="str">
        <v>Les feux de forêts</v>
      </c>
      <c r="F80" t="str">
        <v>Les feux de dépôt graisseux servant d’auxiliaires de cuisson</v>
      </c>
      <c r="G80" t="str">
        <v>Les feux de liquides incombustibles</v>
      </c>
      <c r="H80" t="str">
        <v>Rien car cette classe n’existe pas</v>
      </c>
      <c r="I80" t="str">
        <v>Aucune des autres réponses</v>
      </c>
    </row>
    <row r="81" spans="1:9" ht="15.75" x14ac:dyDescent="0.25">
      <c r="A81" s="14" t="s">
        <v>529</v>
      </c>
      <c r="B81" s="17">
        <f t="shared" si="7"/>
        <v>3</v>
      </c>
      <c r="C81" s="17" t="str">
        <f t="shared" si="6"/>
        <v>Vous effectuez une ronde, un ouvrier d’une société extérieure réalise des travaux par points chauds. Vous n’avez ni consigne, ni permis feu. Que faites-vous ?|Je contacte le PC sécurité pour demander la conduite à tenir|Je passe mon chemin pour laisser l’ouvrier faire son travail|Je fais cesser immédiatement les travaux avant de prendre des renseignements auprès du PC sécurité|Je verbalise l’ouvrier contrevenant|Aucune des autres réponses</v>
      </c>
      <c r="D81" t="str" cm="1">
        <f t="array" ref="D81:I81">_xlfn.TEXTSPLIT(C81,"|")</f>
        <v>Vous effectuez une ronde, un ouvrier d’une société extérieure réalise des travaux par points chauds. Vous n’avez ni consigne, ni permis feu. Que faites-vous ?</v>
      </c>
      <c r="E81" t="str">
        <v>Je contacte le PC sécurité pour demander la conduite à tenir</v>
      </c>
      <c r="F81" t="str">
        <v>Je passe mon chemin pour laisser l’ouvrier faire son travail</v>
      </c>
      <c r="G81" t="str">
        <v>Je fais cesser immédiatement les travaux avant de prendre des renseignements auprès du PC sécurité</v>
      </c>
      <c r="H81" t="str">
        <v>Je verbalise l’ouvrier contrevenant</v>
      </c>
      <c r="I81" t="str">
        <v>Aucune des autres réponses</v>
      </c>
    </row>
    <row r="82" spans="1:9" ht="15.75" x14ac:dyDescent="0.25">
      <c r="A82" s="14" t="s">
        <v>530</v>
      </c>
      <c r="B82" s="17">
        <f t="shared" si="7"/>
        <v>3</v>
      </c>
      <c r="C82" s="17" t="str">
        <f t="shared" si="6"/>
        <v>Les travaux par points chauds ont lieu dans votre établissement. Le service de sécurité quitte l’établissement qui n’est donc plus sous sa surveillance à partir de 21h. À quelle heure maximum les travaux doivent-ils cesser ?|17h|18h|19h|20h|21h</v>
      </c>
      <c r="D82" t="str" cm="1">
        <f t="array" ref="D82:I82">_xlfn.TEXTSPLIT(C82,"|")</f>
        <v>Les travaux par points chauds ont lieu dans votre établissement. Le service de sécurité quitte l’établissement qui n’est donc plus sous sa surveillance à partir de 21h. À quelle heure maximum les travaux doivent-ils cesser ?</v>
      </c>
      <c r="E82" t="str">
        <v>17h</v>
      </c>
      <c r="F82" t="str">
        <v>18h</v>
      </c>
      <c r="G82" t="str">
        <v>19h</v>
      </c>
      <c r="H82" t="str">
        <v>20h</v>
      </c>
      <c r="I82" t="str">
        <v>21h</v>
      </c>
    </row>
    <row r="83" spans="1:9" ht="15.75" x14ac:dyDescent="0.25">
      <c r="A83" s="15"/>
    </row>
    <row r="84" spans="1:9" x14ac:dyDescent="0.25">
      <c r="A84" s="16" t="s">
        <v>714</v>
      </c>
      <c r="B84" s="17">
        <f t="shared" ref="B84:B91" si="8">FIND(" – ",A84)</f>
        <v>2</v>
      </c>
      <c r="C84" s="17" t="str">
        <f t="shared" ref="C84:C91" si="9">RIGHT(A84, LEN(A84)-(B84+2))</f>
        <v>Quel est le seuil fixé par le Code de la Sécurité Intérieure, concernant l’obligation de palpation de sécurité des manifestations ?|Pour l’accès aux enceintes dans lesquelles est organisée une manifestation, rassemblant moins de 300 spectateurs|Pour l’accès aux enceintes dans lesquelles sont organisées des manifestations rassemblant plus de 300 spectateurs|Pour l’accès aux enceintes dans lesquelles est organisée une manifestation rassemblant de 150 à 200 spectateurs|Pour l’accès aux enceintes dans lesquelles est organisée une manifestation rassemblant plus de 1500 spectateurs|Aucune des autres réponses</v>
      </c>
      <c r="D84" t="str" cm="1">
        <f t="array" ref="D84:I84">_xlfn.TEXTSPLIT(C84,"|")</f>
        <v>Quel est le seuil fixé par le Code de la Sécurité Intérieure, concernant l’obligation de palpation de sécurité des manifestations ?</v>
      </c>
      <c r="E84" t="str">
        <v>Pour l’accès aux enceintes dans lesquelles est organisée une manifestation, rassemblant moins de 300 spectateurs</v>
      </c>
      <c r="F84" t="str">
        <v>Pour l’accès aux enceintes dans lesquelles sont organisées des manifestations rassemblant plus de 300 spectateurs</v>
      </c>
      <c r="G84" t="str">
        <v>Pour l’accès aux enceintes dans lesquelles est organisée une manifestation rassemblant de 150 à 200 spectateurs</v>
      </c>
      <c r="H84" t="str">
        <v>Pour l’accès aux enceintes dans lesquelles est organisée une manifestation rassemblant plus de 1500 spectateurs</v>
      </c>
      <c r="I84" t="str">
        <v>Aucune des autres réponses</v>
      </c>
    </row>
    <row r="85" spans="1:9" x14ac:dyDescent="0.25">
      <c r="A85" s="16" t="s">
        <v>715</v>
      </c>
      <c r="B85" s="17">
        <f t="shared" si="8"/>
        <v>2</v>
      </c>
      <c r="C85" s="17" t="str">
        <f t="shared" si="9"/>
        <v>Quelles sont les méthodes pour les agents féminins pour effectuer des vérifications de sécurité sur des hommes qui sont au contrôle d’accès :|La fouille à corps uniquement avec le consentement de la personne|La fouille au corps|L’utilisation du magnétomètre|Les palpations de sécurité|Aucune des autres réponses</v>
      </c>
      <c r="D85" t="str" cm="1">
        <f t="array" ref="D85:I85">_xlfn.TEXTSPLIT(C85,"|")</f>
        <v>Quelles sont les méthodes pour les agents féminins pour effectuer des vérifications de sécurité sur des hommes qui sont au contrôle d’accès :</v>
      </c>
      <c r="E85" t="str">
        <v>La fouille à corps uniquement avec le consentement de la personne</v>
      </c>
      <c r="F85" t="str">
        <v>La fouille au corps</v>
      </c>
      <c r="G85" t="str">
        <v>L’utilisation du magnétomètre</v>
      </c>
      <c r="H85" t="str">
        <v>Les palpations de sécurité</v>
      </c>
      <c r="I85" t="str">
        <v>Aucune des autres réponses</v>
      </c>
    </row>
    <row r="86" spans="1:9" x14ac:dyDescent="0.25">
      <c r="A86" s="16" t="s">
        <v>716</v>
      </c>
      <c r="B86" s="17">
        <f t="shared" si="8"/>
        <v>2</v>
      </c>
      <c r="C86" s="17" t="str">
        <f t="shared" si="9"/>
        <v>Qu’est-ce qu’une palpation de sécurité ?|Le fait d’appliquer les mains par-dessus les vêtements d’une personne afin de déceler tout objet interdit ou susceptible d’être dangereux pour autrui|Le fait de chercher dans les poches des vêtements d’un individu une arme ou tout objet dangereux|Le fait de vérifier sur les membres d’une victime l’absence de saignement|Le fait de mettre les mains dans un sac pour vérifier l’absence de tout objet interdit ou susceptible d’être dangereux pour autrui|Aucune des autres réponses</v>
      </c>
      <c r="D86" t="str" cm="1">
        <f t="array" ref="D86:I86">_xlfn.TEXTSPLIT(C86,"|")</f>
        <v>Qu’est-ce qu’une palpation de sécurité ?</v>
      </c>
      <c r="E86" t="str">
        <v>Le fait d’appliquer les mains par-dessus les vêtements d’une personne afin de déceler tout objet interdit ou susceptible d’être dangereux pour autrui</v>
      </c>
      <c r="F86" t="str">
        <v>Le fait de chercher dans les poches des vêtements d’un individu une arme ou tout objet dangereux</v>
      </c>
      <c r="G86" t="str">
        <v>Le fait de vérifier sur les membres d’une victime l’absence de saignement</v>
      </c>
      <c r="H86" t="str">
        <v>Le fait de mettre les mains dans un sac pour vérifier l’absence de tout objet interdit ou susceptible d’être dangereux pour autrui</v>
      </c>
      <c r="I86" t="str">
        <v>Aucune des autres réponses</v>
      </c>
    </row>
    <row r="87" spans="1:9" x14ac:dyDescent="0.25">
      <c r="A87" s="16" t="s">
        <v>717</v>
      </c>
      <c r="B87" s="17">
        <f t="shared" si="8"/>
        <v>2</v>
      </c>
      <c r="C87" s="17" t="str">
        <f t="shared" si="9"/>
        <v>D’après le Code de la Sécurité Intérieure, quelles conditions devez-vous respecter pour effectuer une palpation de sécurité lorsqu’un périmètre de protection a été institué ?|Détenir l’agrément du préfet et effectuer la palpation sur une personne de même sexe avec son accord|Détenir l’agrément du préfet, l’habilitation de l’employeur et effectuer la palpation sur n’importe quelle personne|Détenir l’agrément du préfet|Être désigné par son employeur pour effectuer la palpation sur une personne de même sexe avec son accord et sous la responsabilité d’un OPJ|Aucune des autres réponses</v>
      </c>
      <c r="D87" t="str" cm="1">
        <f t="array" ref="D87:I87">_xlfn.TEXTSPLIT(C87,"|")</f>
        <v>D’après le Code de la Sécurité Intérieure, quelles conditions devez-vous respecter pour effectuer une palpation de sécurité lorsqu’un périmètre de protection a été institué ?</v>
      </c>
      <c r="E87" t="str">
        <v>Détenir l’agrément du préfet et effectuer la palpation sur une personne de même sexe avec son accord</v>
      </c>
      <c r="F87" t="str">
        <v>Détenir l’agrément du préfet, l’habilitation de l’employeur et effectuer la palpation sur n’importe quelle personne</v>
      </c>
      <c r="G87" t="str">
        <v>Détenir l’agrément du préfet</v>
      </c>
      <c r="H87" t="str">
        <v>Être désigné par son employeur pour effectuer la palpation sur une personne de même sexe avec son accord et sous la responsabilité d’un OPJ</v>
      </c>
      <c r="I87" t="str">
        <v>Aucune des autres réponses</v>
      </c>
    </row>
    <row r="88" spans="1:9" x14ac:dyDescent="0.25">
      <c r="A88" s="16" t="s">
        <v>718</v>
      </c>
      <c r="B88" s="17">
        <f t="shared" si="8"/>
        <v>2</v>
      </c>
      <c r="C88" s="17" t="str">
        <f t="shared" si="9"/>
        <v>Suite à une appréhension en flagrant délit pour vol, je vois que l’individu possède un couteau dans sa poche de blouson. Que dois-je faire ?|Je menotte l’individu pour qu’il ne puisse faire usage de son arme|Je peux saisir d’autorité l’arme par mesure de sécurité|Je ne peux pas saisir d’autorité l’arme car ce serait assimilé à une réquisition|Je demande à l’individu de bien vouloir poser délicatement et en sécurité le couteau au sol|Aucune des autres réponses</v>
      </c>
      <c r="D88" t="str" cm="1">
        <f t="array" ref="D88:I88">_xlfn.TEXTSPLIT(C88,"|")</f>
        <v>Suite à une appréhension en flagrant délit pour vol, je vois que l’individu possède un couteau dans sa poche de blouson. Que dois-je faire ?</v>
      </c>
      <c r="E88" t="str">
        <v>Je menotte l’individu pour qu’il ne puisse faire usage de son arme</v>
      </c>
      <c r="F88" t="str">
        <v>Je peux saisir d’autorité l’arme par mesure de sécurité</v>
      </c>
      <c r="G88" t="str">
        <v>Je ne peux pas saisir d’autorité l’arme car ce serait assimilé à une réquisition</v>
      </c>
      <c r="H88" t="str">
        <v>Je demande à l’individu de bien vouloir poser délicatement et en sécurité le couteau au sol</v>
      </c>
      <c r="I88" t="str">
        <v>Aucune des autres réponses</v>
      </c>
    </row>
    <row r="89" spans="1:9" x14ac:dyDescent="0.25">
      <c r="A89" s="16" t="s">
        <v>719</v>
      </c>
      <c r="B89" s="17">
        <f t="shared" si="8"/>
        <v>2</v>
      </c>
      <c r="C89" s="17" t="str">
        <f t="shared" si="9"/>
        <v>Lors de palpations de sécurité en vue d’accéder aux manifestations, la formulation « sous le contrôle d’un OPJ » signifie :|Qu’un OPJ peut désigner un Agent de Police Judiciaire adjoint pour le représenter|Qu’un nombre d’OPJ proportionné au nombre d’agents doit être présent|Qu’un OPJ doit être obligatoirement présent sur les lieux de la manifestation|La désignation d’un OPJ par le Préfet et sa situation d’astreinte|Aucune des autres réponses</v>
      </c>
      <c r="D89" t="str" cm="1">
        <f t="array" ref="D89:I89">_xlfn.TEXTSPLIT(C89,"|")</f>
        <v>Lors de palpations de sécurité en vue d’accéder aux manifestations, la formulation « sous le contrôle d’un OPJ » signifie :</v>
      </c>
      <c r="E89" t="str">
        <v>Qu’un OPJ peut désigner un Agent de Police Judiciaire adjoint pour le représenter</v>
      </c>
      <c r="F89" t="str">
        <v>Qu’un nombre d’OPJ proportionné au nombre d’agents doit être présent</v>
      </c>
      <c r="G89" t="str">
        <v>Qu’un OPJ doit être obligatoirement présent sur les lieux de la manifestation</v>
      </c>
      <c r="H89" t="str">
        <v>La désignation d’un OPJ par le Préfet et sa situation d’astreinte</v>
      </c>
      <c r="I89" t="str">
        <v>Aucune des autres réponses</v>
      </c>
    </row>
    <row r="90" spans="1:9" x14ac:dyDescent="0.25">
      <c r="A90" s="16" t="s">
        <v>720</v>
      </c>
      <c r="B90" s="17">
        <f t="shared" si="8"/>
        <v>2</v>
      </c>
      <c r="C90" s="17" t="str">
        <f t="shared" si="9"/>
        <v>Les consignes vous demandent d’effectuer des palpations lors d’une manifestation artistique réunissant plus de 20 000 personnes, que faites-vous ?|Vous lui demandez s’il a une autorisation préfectorale|Vous lui demandez s’il dispose d’une autorisation du CNAPS en cas de circonstances exceptionnelles|Vous acceptez car votre employeur a engagé sa responsabilité et que ces palpations s’effectuent sous le contrôle d’un OPJ|Vous rappelez que vous n’avez pas d’agrément du CNAPS et que vous n’avez pas le droit de le faire|Aucune des autres réponses</v>
      </c>
      <c r="D90" t="str" cm="1">
        <f t="array" ref="D90:I90">_xlfn.TEXTSPLIT(C90,"|")</f>
        <v>Les consignes vous demandent d’effectuer des palpations lors d’une manifestation artistique réunissant plus de 20 000 personnes, que faites-vous ?</v>
      </c>
      <c r="E90" t="str">
        <v>Vous lui demandez s’il a une autorisation préfectorale</v>
      </c>
      <c r="F90" t="str">
        <v>Vous lui demandez s’il dispose d’une autorisation du CNAPS en cas de circonstances exceptionnelles</v>
      </c>
      <c r="G90" t="str">
        <v>Vous acceptez car votre employeur a engagé sa responsabilité et que ces palpations s’effectuent sous le contrôle d’un OPJ</v>
      </c>
      <c r="H90" t="str">
        <v>Vous rappelez que vous n’avez pas d’agrément du CNAPS et que vous n’avez pas le droit de le faire</v>
      </c>
      <c r="I90" t="str">
        <v>Aucune des autres réponses</v>
      </c>
    </row>
    <row r="91" spans="1:9" x14ac:dyDescent="0.25">
      <c r="A91" s="16" t="s">
        <v>721</v>
      </c>
      <c r="B91" s="17">
        <f t="shared" si="8"/>
        <v>2</v>
      </c>
      <c r="C91" s="17" t="str">
        <f t="shared" si="9"/>
        <v>Pour procéder à des palpations de sécurité dans les enceintes de manifestations sportives, les employés des entreprises de surveillance et de gardiennage doivent :|Rien est nécessaire hormis être désigné par son employeur|Avoir été habilités par leur employeur puis agréés par le préfet du département|Avoir été habilités par leur employeur puis agréés par la C.L.A.C.|Avoir été agréés par la commission internationale suite à l’envoi d’un dossier par l’organisateur de la manifestation|Aucune des autres réponses</v>
      </c>
      <c r="D91" t="str" cm="1">
        <f t="array" ref="D91:I91">_xlfn.TEXTSPLIT(C91,"|")</f>
        <v>Pour procéder à des palpations de sécurité dans les enceintes de manifestations sportives, les employés des entreprises de surveillance et de gardiennage doivent :</v>
      </c>
      <c r="E91" t="str">
        <v>Rien est nécessaire hormis être désigné par son employeur</v>
      </c>
      <c r="F91" t="str">
        <v>Avoir été habilités par leur employeur puis agréés par le préfet du département</v>
      </c>
      <c r="G91" t="str">
        <v>Avoir été habilités par leur employeur puis agréés par la C.L.A.C.</v>
      </c>
      <c r="H91" t="str">
        <v>Avoir été agréés par la commission internationale suite à l’envoi d’un dossier par l’organisateur de la manifestation</v>
      </c>
      <c r="I91" t="str">
        <v>Aucune des autres réponses</v>
      </c>
    </row>
    <row r="93" spans="1:9" x14ac:dyDescent="0.25">
      <c r="A93" s="6" t="s">
        <v>762</v>
      </c>
      <c r="B93" s="17">
        <f t="shared" ref="B93:B106" si="10">FIND(" - ",A93)</f>
        <v>10</v>
      </c>
      <c r="C93" s="17" t="str">
        <f t="shared" ref="C93:C106" si="11">RIGHT(A93, LEN(A93)-(B93+2))</f>
        <v>La CNIL est :|La Commission Nationale des Instances de Liberté|La Commission Nationale de l’Informatique et des Libertés|Le Conseil National sur l’Informatique et des Libertés|Le Comité National des Institutions pour les Libertés|Aucune des autres réponses</v>
      </c>
      <c r="D93" t="str" cm="1">
        <f t="array" ref="D93:I93">_xlfn.TEXTSPLIT(C93,"|")</f>
        <v>La CNIL est :</v>
      </c>
      <c r="E93" t="str">
        <v>La Commission Nationale des Instances de Liberté</v>
      </c>
      <c r="F93" t="str">
        <v>La Commission Nationale de l’Informatique et des Libertés</v>
      </c>
      <c r="G93" t="str">
        <v>Le Conseil National sur l’Informatique et des Libertés</v>
      </c>
      <c r="H93" t="str">
        <v>Le Comité National des Institutions pour les Libertés</v>
      </c>
      <c r="I93" t="str">
        <v>Aucune des autres réponses</v>
      </c>
    </row>
    <row r="94" spans="1:9" x14ac:dyDescent="0.25">
      <c r="A94" s="6" t="s">
        <v>763</v>
      </c>
      <c r="B94" s="17">
        <f t="shared" si="10"/>
        <v>10</v>
      </c>
      <c r="C94" s="17" t="str">
        <f t="shared" si="11"/>
        <v>Quel est l’un des rôles de la CNIL ?|Autoriser le port d’armes numériques|Délivrer les cartes d’agrément vidéo protecteur|Lutter contre la Cyberdéfense|Protéger la vie privée et les libertés publiques|Aucune des autres réponses</v>
      </c>
      <c r="D94" t="str" cm="1">
        <f t="array" ref="D94:I94">_xlfn.TEXTSPLIT(C94,"|")</f>
        <v>Quel est l’un des rôles de la CNIL ?</v>
      </c>
      <c r="E94" t="str">
        <v>Autoriser le port d’armes numériques</v>
      </c>
      <c r="F94" t="str">
        <v>Délivrer les cartes d’agrément vidéo protecteur</v>
      </c>
      <c r="G94" t="str">
        <v>Lutter contre la Cyberdéfense</v>
      </c>
      <c r="H94" t="str">
        <v>Protéger la vie privée et les libertés publiques</v>
      </c>
      <c r="I94" t="str">
        <v>Aucune des autres réponses</v>
      </c>
    </row>
    <row r="95" spans="1:9" x14ac:dyDescent="0.25">
      <c r="A95" s="6" t="s">
        <v>764</v>
      </c>
      <c r="B95" s="17">
        <f t="shared" si="10"/>
        <v>10</v>
      </c>
      <c r="C95" s="17" t="str">
        <f t="shared" si="11"/>
        <v>Un agent rondier me demande de supprimer des images du système de télésurveillance correspondant à son arrivée en retard sur le site :|Étant un bon collègue de travail, sérieux et apprécié de tous, je le fais sans aucun problème|Aucun incident n’ayant été relevé à cet instant, je ne fais que libérer un peu de place sur le disque dur du serveur de stockage|Je le lui laisse faire, ne souhaitant pas être impliqué dans cette action|Je n’ai pas le droit de le faire, risquant des poursuites pénales et disciplinaires|Aucune des autres réponses</v>
      </c>
      <c r="D95" t="str" cm="1">
        <f t="array" ref="D95:I95">_xlfn.TEXTSPLIT(C95,"|")</f>
        <v>Un agent rondier me demande de supprimer des images du système de télésurveillance correspondant à son arrivée en retard sur le site :</v>
      </c>
      <c r="E95" t="str">
        <v>Étant un bon collègue de travail, sérieux et apprécié de tous, je le fais sans aucun problème</v>
      </c>
      <c r="F95" t="str">
        <v>Aucun incident n’ayant été relevé à cet instant, je ne fais que libérer un peu de place sur le disque dur du serveur de stockage</v>
      </c>
      <c r="G95" t="str">
        <v>Je le lui laisse faire, ne souhaitant pas être impliqué dans cette action</v>
      </c>
      <c r="H95" t="str">
        <v>Je n’ai pas le droit de le faire, risquant des poursuites pénales et disciplinaires</v>
      </c>
      <c r="I95" t="str">
        <v>Aucune des autres réponses</v>
      </c>
    </row>
    <row r="96" spans="1:9" x14ac:dyDescent="0.25">
      <c r="A96" s="6" t="s">
        <v>765</v>
      </c>
      <c r="B96" s="17">
        <f t="shared" si="10"/>
        <v>10</v>
      </c>
      <c r="C96" s="17" t="str">
        <f t="shared" si="11"/>
        <v>Vous êtes agent au PCS et équipé d’un système de vidéoprotection :|Vous vérifiez à la prise de service le bon fonctionnement des caméras conformément aux consignes|Vous ne vous servirez des caméras qu’en cas d’intrusion, quelles que soient les consignes|Vous n’êtes pas habilité à vous servir de ce système n’ayant pas d’autorisation du CNAPS spécifique|Vous garderez chaque jour des copies d’images ou vidéos pour vous prémunir de tout reproche futur|Aucune des autres réponses</v>
      </c>
      <c r="D96" t="str" cm="1">
        <f t="array" ref="D96:I96">_xlfn.TEXTSPLIT(C96,"|")</f>
        <v>Vous êtes agent au PCS et équipé d’un système de vidéoprotection :</v>
      </c>
      <c r="E96" t="str">
        <v>Vous vérifiez à la prise de service le bon fonctionnement des caméras conformément aux consignes</v>
      </c>
      <c r="F96" t="str">
        <v>Vous ne vous servirez des caméras qu’en cas d’intrusion, quelles que soient les consignes</v>
      </c>
      <c r="G96" t="str">
        <v>Vous n’êtes pas habilité à vous servir de ce système n’ayant pas d’autorisation du CNAPS spécifique</v>
      </c>
      <c r="H96" t="str">
        <v>Vous garderez chaque jour des copies d’images ou vidéos pour vous prémunir de tout reproche futur</v>
      </c>
      <c r="I96" t="str">
        <v>Aucune des autres réponses</v>
      </c>
    </row>
    <row r="97" spans="1:9" x14ac:dyDescent="0.25">
      <c r="A97" s="6" t="s">
        <v>766</v>
      </c>
      <c r="B97" s="17">
        <f t="shared" si="10"/>
        <v>10</v>
      </c>
      <c r="C97" s="17" t="str">
        <f t="shared" si="11"/>
        <v>Quelle est la principale différence entre une caméra IP et une caméra analogique ?|La façon dont le signal est transmis|La durée de vie de la caméra|La taille de l’image et sa précision|La possibilité de distinguer le visage des personnes observées|Aucune des autres réponses</v>
      </c>
      <c r="D97" t="str" cm="1">
        <f t="array" ref="D97:I97">_xlfn.TEXTSPLIT(C97,"|")</f>
        <v>Quelle est la principale différence entre une caméra IP et une caméra analogique ?</v>
      </c>
      <c r="E97" t="str">
        <v>La façon dont le signal est transmis</v>
      </c>
      <c r="F97" t="str">
        <v>La durée de vie de la caméra</v>
      </c>
      <c r="G97" t="str">
        <v>La taille de l’image et sa précision</v>
      </c>
      <c r="H97" t="str">
        <v>La possibilité de distinguer le visage des personnes observées</v>
      </c>
      <c r="I97" t="str">
        <v>Aucune des autres réponses</v>
      </c>
    </row>
    <row r="98" spans="1:9" x14ac:dyDescent="0.25">
      <c r="A98" s="6" t="s">
        <v>767</v>
      </c>
      <c r="B98" s="17">
        <f t="shared" si="10"/>
        <v>10</v>
      </c>
      <c r="C98" s="17" t="str">
        <f t="shared" si="11"/>
        <v>Dans lequel de ces textes la vidéoprotection est-elle encadrée ?|Le guide APSAD des installations Electroniques|Le Décret 2014-007 du 20 février 2014|La partie Législative du livre VI du Code de la Sécurité Intérieure|La Convention Collective Nationale Prévention et Sécurité|Aucune des autres réponses</v>
      </c>
      <c r="D98" t="str" cm="1">
        <f t="array" ref="D98:I98">_xlfn.TEXTSPLIT(C98,"|")</f>
        <v>Dans lequel de ces textes la vidéoprotection est-elle encadrée ?</v>
      </c>
      <c r="E98" t="str">
        <v>Le guide APSAD des installations Electroniques</v>
      </c>
      <c r="F98" t="str">
        <v>Le Décret 2014-007 du 20 février 2014</v>
      </c>
      <c r="G98" t="str">
        <v>La partie Législative du livre VI du Code de la Sécurité Intérieure</v>
      </c>
      <c r="H98" t="str">
        <v>La Convention Collective Nationale Prévention et Sécurité</v>
      </c>
      <c r="I98" t="str">
        <v>Aucune des autres réponses</v>
      </c>
    </row>
    <row r="99" spans="1:9" x14ac:dyDescent="0.25">
      <c r="A99" s="6" t="s">
        <v>768</v>
      </c>
      <c r="B99" s="17">
        <f t="shared" si="10"/>
        <v>10</v>
      </c>
      <c r="C99" s="17" t="str">
        <f t="shared" si="11"/>
        <v>Agent de vidéosurveillance sur un site en journée, vous repérez un individu au visage dissimulé dans un local sensible à accès réglementé, que faites-vous ?|Je déclenche l’alarme générale d’évacuation des bâtiments|J’effectue la levée de doute immédiatement pour appréhender l’individu|J’informe immédiatement le responsable sécurité du site conformément aux consignes|J’appelle les forces de l’ordre sans plus attendre|Aucune des autres réponses</v>
      </c>
      <c r="D99" t="str" cm="1">
        <f t="array" ref="D99:I99">_xlfn.TEXTSPLIT(C99,"|")</f>
        <v>Agent de vidéosurveillance sur un site en journée, vous repérez un individu au visage dissimulé dans un local sensible à accès réglementé, que faites-vous ?</v>
      </c>
      <c r="E99" t="str">
        <v>Je déclenche l’alarme générale d’évacuation des bâtiments</v>
      </c>
      <c r="F99" t="str">
        <v>J’effectue la levée de doute immédiatement pour appréhender l’individu</v>
      </c>
      <c r="G99" t="str">
        <v>J’informe immédiatement le responsable sécurité du site conformément aux consignes</v>
      </c>
      <c r="H99" t="str">
        <v>J’appelle les forces de l’ordre sans plus attendre</v>
      </c>
      <c r="I99" t="str">
        <v>Aucune des autres réponses</v>
      </c>
    </row>
    <row r="100" spans="1:9" x14ac:dyDescent="0.25">
      <c r="A100" s="6" t="s">
        <v>769</v>
      </c>
      <c r="B100" s="17">
        <f t="shared" si="10"/>
        <v>10</v>
      </c>
      <c r="C100" s="17" t="str">
        <f t="shared" si="11"/>
        <v>Rondier d’astreinte à votre domicile, le télésurveilleur vous contacte la nuit suite à un déclenchement d’alarme intrusion chez un client: que faites-vous ?|Je mets à jour l’outil de main courante électronique et attend les consignes|J’envoie les forces de l’ordre pour effectuer la levée de doute, n’étant pas habilité|Je pense qu’il s’agit d’un dysfonctionnement et économise une ronde inutile à mon entreprise, j’irai demain à la première heure de ma prise de fonction|Je donne mon mot de passe pour m’authentifier et me rends sur place pour effectuer la levée de doute|Aucune des autres réponses</v>
      </c>
      <c r="D100" t="str" cm="1">
        <f t="array" ref="D100:I100">_xlfn.TEXTSPLIT(C100,"|")</f>
        <v>Rondier d’astreinte à votre domicile, le télésurveilleur vous contacte la nuit suite à un déclenchement d’alarme intrusion chez un client: que faites-vous ?</v>
      </c>
      <c r="E100" t="str">
        <v>Je mets à jour l’outil de main courante électronique et attend les consignes</v>
      </c>
      <c r="F100" t="str">
        <v>J’envoie les forces de l’ordre pour effectuer la levée de doute, n’étant pas habilité</v>
      </c>
      <c r="G100" t="str">
        <v>Je pense qu’il s’agit d’un dysfonctionnement et économise une ronde inutile à mon entreprise, j’irai demain à la première heure de ma prise de fonction</v>
      </c>
      <c r="H100" t="str">
        <v>Je donne mon mot de passe pour m’authentifier et me rends sur place pour effectuer la levée de doute</v>
      </c>
      <c r="I100" t="str">
        <v>Aucune des autres réponses</v>
      </c>
    </row>
    <row r="101" spans="1:9" x14ac:dyDescent="0.25">
      <c r="A101" s="6" t="s">
        <v>770</v>
      </c>
      <c r="B101" s="17">
        <f t="shared" si="10"/>
        <v>10</v>
      </c>
      <c r="C101" s="17" t="str">
        <f t="shared" si="11"/>
        <v>Quel équipement fait partie d’un système de vidéosurveillance|La caméra|L’appareil photo|Le caméscope|Le magnétophone|Aucune des autres réponses</v>
      </c>
      <c r="D101" t="str" cm="1">
        <f t="array" ref="D101:I101">_xlfn.TEXTSPLIT(C101,"|")</f>
        <v>Quel équipement fait partie d’un système de vidéosurveillance</v>
      </c>
      <c r="E101" t="str">
        <v>La caméra</v>
      </c>
      <c r="F101" t="str">
        <v>L’appareil photo</v>
      </c>
      <c r="G101" t="str">
        <v>Le caméscope</v>
      </c>
      <c r="H101" t="str">
        <v>Le magnétophone</v>
      </c>
      <c r="I101" t="str">
        <v>Aucune des autres réponses</v>
      </c>
    </row>
    <row r="102" spans="1:9" x14ac:dyDescent="0.25">
      <c r="A102" s="6" t="s">
        <v>771</v>
      </c>
      <c r="B102" s="17">
        <f t="shared" si="10"/>
        <v>11</v>
      </c>
      <c r="C102" s="17" t="str">
        <f t="shared" si="11"/>
        <v>Un système de vidéoprotection peut proposer plusieurs types de caméras :|Des caméras fixes|Des caméras à vision nocturne|Des caméras à 360°|Des caméras à lecture de plaques minéralogiques|Toutes les réponses précédentes sont exactes</v>
      </c>
      <c r="D102" t="str" cm="1">
        <f t="array" ref="D102:I102">_xlfn.TEXTSPLIT(C102,"|")</f>
        <v>Un système de vidéoprotection peut proposer plusieurs types de caméras :</v>
      </c>
      <c r="E102" t="str">
        <v>Des caméras fixes</v>
      </c>
      <c r="F102" t="str">
        <v>Des caméras à vision nocturne</v>
      </c>
      <c r="G102" t="str">
        <v>Des caméras à 360°</v>
      </c>
      <c r="H102" t="str">
        <v>Des caméras à lecture de plaques minéralogiques</v>
      </c>
      <c r="I102" t="str">
        <v>Toutes les réponses précédentes sont exactes</v>
      </c>
    </row>
    <row r="103" spans="1:9" x14ac:dyDescent="0.25">
      <c r="A103" s="6" t="s">
        <v>772</v>
      </c>
      <c r="B103" s="17">
        <f t="shared" si="10"/>
        <v>11</v>
      </c>
      <c r="C103" s="17" t="str">
        <f t="shared" si="11"/>
        <v>Quelle est la composition de la chaîne de télésécurité ?|Observation - Réglementation - Validation - Action|Détection - Transmission - Réception - Traitement - Intervention|Veille - Repérage - Preuve - Formalisation|Déclenchement - Levée de doute - Police - Main courante|Aucune des autres réponses</v>
      </c>
      <c r="D103" t="str" cm="1">
        <f t="array" ref="D103:I103">_xlfn.TEXTSPLIT(C103,"|")</f>
        <v>Quelle est la composition de la chaîne de télésécurité ?</v>
      </c>
      <c r="E103" t="str">
        <v>Observation - Réglementation - Validation - Action</v>
      </c>
      <c r="F103" t="str">
        <v>Détection - Transmission - Réception - Traitement - Intervention</v>
      </c>
      <c r="G103" t="str">
        <v>Veille - Repérage - Preuve - Formalisation</v>
      </c>
      <c r="H103" t="str">
        <v>Déclenchement - Levée de doute - Police - Main courante</v>
      </c>
      <c r="I103" t="str">
        <v>Aucune des autres réponses</v>
      </c>
    </row>
    <row r="104" spans="1:9" x14ac:dyDescent="0.25">
      <c r="A104" s="6" t="s">
        <v>773</v>
      </c>
      <c r="B104" s="17">
        <f t="shared" si="10"/>
        <v>11</v>
      </c>
      <c r="C104" s="17" t="str">
        <f t="shared" si="11"/>
        <v>Constitue une infraction d’atteinte aux systèmes de traitement automatisé des données, le fait : |D’introduire un virus informatique dans un système de données informatiques|De modifier des données informatiques|D’accéder frauduleusement à des données informatiques|De supprimer des données informatiques|Toutes les réponses précédentes sont exactes</v>
      </c>
      <c r="D104" t="str" cm="1">
        <f t="array" ref="D104:I104">_xlfn.TEXTSPLIT(C104,"|")</f>
        <v xml:space="preserve">Constitue une infraction d’atteinte aux systèmes de traitement automatisé des données, le fait : </v>
      </c>
      <c r="E104" t="str">
        <v>D’introduire un virus informatique dans un système de données informatiques</v>
      </c>
      <c r="F104" t="str">
        <v>De modifier des données informatiques</v>
      </c>
      <c r="G104" t="str">
        <v>D’accéder frauduleusement à des données informatiques</v>
      </c>
      <c r="H104" t="str">
        <v>De supprimer des données informatiques</v>
      </c>
      <c r="I104" t="str">
        <v>Toutes les réponses précédentes sont exactes</v>
      </c>
    </row>
    <row r="105" spans="1:9" x14ac:dyDescent="0.25">
      <c r="A105" s="6" t="s">
        <v>774</v>
      </c>
      <c r="B105" s="17">
        <f t="shared" si="10"/>
        <v>11</v>
      </c>
      <c r="C105" s="17" t="str">
        <f t="shared" si="11"/>
        <v>Toute personne intéressée peut-elle demander d’avoir accès aux enregistrements de vidéosurveillance qui la concerne et de demander sa destruction ?|Oui après avoir fait la demande auprès du Préfet|Oui, sauf si le refus est justifié par les conditions fixées par la loi|Non, car les enregistrements doivent rester toujours confidentiels|Non, car seuls les opérateurs publics peuvent visionner des images privées|Aucune des autres réponses</v>
      </c>
      <c r="D105" t="str" cm="1">
        <f t="array" ref="D105:I105">_xlfn.TEXTSPLIT(C105,"|")</f>
        <v>Toute personne intéressée peut-elle demander d’avoir accès aux enregistrements de vidéosurveillance qui la concerne et de demander sa destruction ?</v>
      </c>
      <c r="E105" t="str">
        <v>Oui après avoir fait la demande auprès du Préfet</v>
      </c>
      <c r="F105" t="str">
        <v>Oui, sauf si le refus est justifié par les conditions fixées par la loi</v>
      </c>
      <c r="G105" t="str">
        <v>Non, car les enregistrements doivent rester toujours confidentiels</v>
      </c>
      <c r="H105" t="str">
        <v>Non, car seuls les opérateurs publics peuvent visionner des images privées</v>
      </c>
      <c r="I105" t="str">
        <v>Aucune des autres réponses</v>
      </c>
    </row>
    <row r="106" spans="1:9" x14ac:dyDescent="0.25">
      <c r="A106" s="6" t="s">
        <v>775</v>
      </c>
      <c r="B106" s="17">
        <f t="shared" si="10"/>
        <v>11</v>
      </c>
      <c r="C106" s="17" t="str">
        <f t="shared" si="11"/>
        <v>Le responsable logistique du site vous demande de visionner des images de vidéosurveillance enregistrées relatives à un salarié de sa société, que faites-vous ?|Je n’ai pas le droit de le faire mais donne le fichier vidéo au responsable du site client|Je refuse de le faire mais informe mon responsable de cette de demande|J’accepte de le faire si les faits sont graves et avérés|Je refuse de le faire sans l’accord au moins oral du CNAPS|Aucune des autres réponses</v>
      </c>
      <c r="D106" t="str" cm="1">
        <f t="array" ref="D106:I106">_xlfn.TEXTSPLIT(C106,"|")</f>
        <v>Le responsable logistique du site vous demande de visionner des images de vidéosurveillance enregistrées relatives à un salarié de sa société, que faites-vous ?</v>
      </c>
      <c r="E106" t="str">
        <v>Je n’ai pas le droit de le faire mais donne le fichier vidéo au responsable du site client</v>
      </c>
      <c r="F106" t="str">
        <v>Je refuse de le faire mais informe mon responsable de cette de demande</v>
      </c>
      <c r="G106" t="str">
        <v>J’accepte de le faire si les faits sont graves et avérés</v>
      </c>
      <c r="H106" t="str">
        <v>Je refuse de le faire sans l’accord au moins oral du CNAPS</v>
      </c>
      <c r="I106" t="str">
        <v>Aucune des autres réponses</v>
      </c>
    </row>
    <row r="107" spans="1:9" x14ac:dyDescent="0.25">
      <c r="A107" s="6" t="s">
        <v>776</v>
      </c>
      <c r="B107" s="17">
        <f t="shared" ref="B107:B112" si="12">FIND(" - ",A107)</f>
        <v>11</v>
      </c>
      <c r="C107" s="17" t="str">
        <f t="shared" ref="C107:C112" si="13">RIGHT(A107, LEN(A107)-(B107+2))</f>
        <v>Le fait d’accéder frauduleusement à des données informatiques issues d’images de vidéosurveillance constitue l’infraction de :|Vol de données informatiques|Atteintes aux systèmes de traitement automatisé de données|Entrave à la libre circulation de biens et des données|Dégradation ou détérioration d’uns système de traitement de données informatiques|Aucune des autres réponses</v>
      </c>
      <c r="D107" t="str" cm="1">
        <f t="array" ref="D107:I107">_xlfn.TEXTSPLIT(C107,"|")</f>
        <v>Le fait d’accéder frauduleusement à des données informatiques issues d’images de vidéosurveillance constitue l’infraction de :</v>
      </c>
      <c r="E107" t="str">
        <v>Vol de données informatiques</v>
      </c>
      <c r="F107" t="str">
        <v>Atteintes aux systèmes de traitement automatisé de données</v>
      </c>
      <c r="G107" t="str">
        <v>Entrave à la libre circulation de biens et des données</v>
      </c>
      <c r="H107" t="str">
        <v>Dégradation ou détérioration d’uns système de traitement de données informatiques</v>
      </c>
      <c r="I107" t="str">
        <v>Aucune des autres réponses</v>
      </c>
    </row>
    <row r="108" spans="1:9" x14ac:dyDescent="0.25">
      <c r="A108" s="6" t="s">
        <v>777</v>
      </c>
      <c r="B108" s="17">
        <f t="shared" si="12"/>
        <v>11</v>
      </c>
      <c r="C108" s="17" t="str">
        <f t="shared" si="13"/>
        <v>Un agent SSIAP vient au PC de vidéosurveillance vous demander de lui montrer des images d’un bâtiment pour contrôler la présence des extincteurs trop éloignés, que faites-vous ?|J’accepte car il s’agit de risque d’incendie|J’accepte car le site est calme et si aucun risque potentiel n’est prévisible à cet instant|Je refuse, le système n’est pas fait pour cela|Je refuse sans avoir un document écrit du client|Aucune des autres réponses</v>
      </c>
      <c r="D108" t="str" cm="1">
        <f t="array" ref="D108:I108">_xlfn.TEXTSPLIT(C108,"|")</f>
        <v>Un agent SSIAP vient au PC de vidéosurveillance vous demander de lui montrer des images d’un bâtiment pour contrôler la présence des extincteurs trop éloignés, que faites-vous ?</v>
      </c>
      <c r="E108" t="str">
        <v>J’accepte car il s’agit de risque d’incendie</v>
      </c>
      <c r="F108" t="str">
        <v>J’accepte car le site est calme et si aucun risque potentiel n’est prévisible à cet instant</v>
      </c>
      <c r="G108" t="str">
        <v>Je refuse, le système n’est pas fait pour cela</v>
      </c>
      <c r="H108" t="str">
        <v>Je refuse sans avoir un document écrit du client</v>
      </c>
      <c r="I108" t="str">
        <v>Aucune des autres réponses</v>
      </c>
    </row>
    <row r="109" spans="1:9" x14ac:dyDescent="0.25">
      <c r="A109" s="6" t="s">
        <v>778</v>
      </c>
      <c r="B109" s="17">
        <f t="shared" si="12"/>
        <v>11</v>
      </c>
      <c r="C109" s="17" t="str">
        <f t="shared" si="13"/>
        <v>Quels sont les faits autorisés et donc non passibles de poursuites en matière d'utilisation d’images de vidéoprotection ?|Le fait de falsifier des enregistrements|Le fait de permettre leur accès à des personnes non habilitées|Le fait de ne conserver que les images que pendant un mois au maximum sauf procédure judiciaire en cours|Le fait d’utiliser des images à d’autres fins que celles autorisées|Aucune des autres réponses</v>
      </c>
      <c r="D109" t="str" cm="1">
        <f t="array" ref="D109:I109">_xlfn.TEXTSPLIT(C109,"|")</f>
        <v>Quels sont les faits autorisés et donc non passibles de poursuites en matière d'utilisation d’images de vidéoprotection ?</v>
      </c>
      <c r="E109" t="str">
        <v>Le fait de falsifier des enregistrements</v>
      </c>
      <c r="F109" t="str">
        <v>Le fait de permettre leur accès à des personnes non habilitées</v>
      </c>
      <c r="G109" t="str">
        <v>Le fait de ne conserver que les images que pendant un mois au maximum sauf procédure judiciaire en cours</v>
      </c>
      <c r="H109" t="str">
        <v>Le fait d’utiliser des images à d’autres fins que celles autorisées</v>
      </c>
      <c r="I109" t="str">
        <v>Aucune des autres réponses</v>
      </c>
    </row>
    <row r="110" spans="1:9" x14ac:dyDescent="0.25">
      <c r="A110" s="6" t="s">
        <v>779</v>
      </c>
      <c r="B110" s="17">
        <f t="shared" si="12"/>
        <v>11</v>
      </c>
      <c r="C110" s="17" t="str">
        <f t="shared" si="13"/>
        <v>Toute personne peut-elle demander d’avoir accès aux enregistrements de vidéosurveillance qui la concerne ?|Oui car cet accès est de droit, sous certaines conditions|Oui après en avoir fait la demande auprès du Préfet|Selon le bon-vouloir du responsable de l’installation de vidéosurveillance car il n’est pas obligé de le faire|Non car les enregistrements restent toujours confidentiels|Aucune des autres réponses</v>
      </c>
      <c r="D110" t="str" cm="1">
        <f t="array" ref="D110:I110">_xlfn.TEXTSPLIT(C110,"|")</f>
        <v>Toute personne peut-elle demander d’avoir accès aux enregistrements de vidéosurveillance qui la concerne ?</v>
      </c>
      <c r="E110" t="str">
        <v>Oui car cet accès est de droit, sous certaines conditions</v>
      </c>
      <c r="F110" t="str">
        <v>Oui après en avoir fait la demande auprès du Préfet</v>
      </c>
      <c r="G110" t="str">
        <v>Selon le bon-vouloir du responsable de l’installation de vidéosurveillance car il n’est pas obligé de le faire</v>
      </c>
      <c r="H110" t="str">
        <v>Non car les enregistrements restent toujours confidentiels</v>
      </c>
      <c r="I110" t="str">
        <v>Aucune des autres réponses</v>
      </c>
    </row>
    <row r="111" spans="1:9" x14ac:dyDescent="0.25">
      <c r="A111" s="6" t="s">
        <v>780</v>
      </c>
      <c r="B111" s="17">
        <f t="shared" si="12"/>
        <v>11</v>
      </c>
      <c r="C111" s="17" t="str">
        <f t="shared" si="13"/>
        <v>Le contrôle d’accès électronique est :|Un système de sécurité permettant de détecter les personnes au comportement suspect|Un système de sécurité permettant de ne faire que des identifications|Un système de sécurité empêchant l’accès à des personnes autorisées|Un système de sécurité permettant d’autoriser des personnes déterminées|Aucune des autres réponses</v>
      </c>
      <c r="D111" t="str" cm="1">
        <f t="array" ref="D111:I111">_xlfn.TEXTSPLIT(C111,"|")</f>
        <v>Le contrôle d’accès électronique est :</v>
      </c>
      <c r="E111" t="str">
        <v>Un système de sécurité permettant de détecter les personnes au comportement suspect</v>
      </c>
      <c r="F111" t="str">
        <v>Un système de sécurité permettant de ne faire que des identifications</v>
      </c>
      <c r="G111" t="str">
        <v>Un système de sécurité empêchant l’accès à des personnes autorisées</v>
      </c>
      <c r="H111" t="str">
        <v>Un système de sécurité permettant d’autoriser des personnes déterminées</v>
      </c>
      <c r="I111" t="str">
        <v>Aucune des autres réponses</v>
      </c>
    </row>
    <row r="112" spans="1:9" x14ac:dyDescent="0.25">
      <c r="A112" s="6" t="s">
        <v>781</v>
      </c>
      <c r="B112" s="17">
        <f t="shared" si="12"/>
        <v>11</v>
      </c>
      <c r="C112" s="17" t="str">
        <f t="shared" si="13"/>
        <v>Le schéma d’installation de la vidéoprotection permet :|De capter, de transmettre, de stocker, de visionner les images|D’installer, de maintenir et de mettre à disposition des prestataires des images|De compléter le système de surveillance incendie|De garantir aux forces de l’ordre la bonne réalisation de la mission de sûreté|Aucune des autres réponses</v>
      </c>
      <c r="D112" t="str" cm="1">
        <f t="array" ref="D112:I112">_xlfn.TEXTSPLIT(C112,"|")</f>
        <v>Le schéma d’installation de la vidéoprotection permet :</v>
      </c>
      <c r="E112" t="str">
        <v>De capter, de transmettre, de stocker, de visionner les images</v>
      </c>
      <c r="F112" t="str">
        <v>D’installer, de maintenir et de mettre à disposition des prestataires des images</v>
      </c>
      <c r="G112" t="str">
        <v>De compléter le système de surveillance incendie</v>
      </c>
      <c r="H112" t="str">
        <v>De garantir aux forces de l’ordre la bonne réalisation de la mission de sûreté</v>
      </c>
      <c r="I112" t="str">
        <v>Aucune des autres réponses</v>
      </c>
    </row>
    <row r="114" spans="1:9" ht="15.75" x14ac:dyDescent="0.25">
      <c r="A114" s="14" t="s">
        <v>883</v>
      </c>
      <c r="B114" s="17">
        <f t="shared" ref="B114:B123" si="14">FIND(" – ",A114)</f>
        <v>2</v>
      </c>
      <c r="C114" s="17" t="str">
        <f t="shared" ref="C114:C123" si="15">RIGHT(A114, LEN(A114)-(B114+2))</f>
        <v>Lorsque des véhicules sont susceptibles de pénétrer au sein du périmètre de protection (L226-1 du CSI), la loi peut également en subordonner l’accès à l’inspection visuelle du contenu du véhicule :|Avec le consentement de son conducteur, par un agent de prévention et de sécurité|Sans le consentement de son conducteur, par un agent de prévention et de sécurité|Avec le consentement de son conducteur, par un agent de prévention et de sécurité, placé sous l’autorité d’un OPJ|Sans le consentement de son conducteur, par un agent de prévention et de sécurité mais sous le contrôle d’un OPJ|Aucune des autres réponses</v>
      </c>
      <c r="D114" t="str" cm="1">
        <f t="array" ref="D114:I114">_xlfn.TEXTSPLIT(C114,"|")</f>
        <v>Lorsque des véhicules sont susceptibles de pénétrer au sein du périmètre de protection (L226-1 du CSI), la loi peut également en subordonner l’accès à l’inspection visuelle du contenu du véhicule :</v>
      </c>
      <c r="E114" t="str">
        <v>Avec le consentement de son conducteur, par un agent de prévention et de sécurité</v>
      </c>
      <c r="F114" t="str">
        <v>Sans le consentement de son conducteur, par un agent de prévention et de sécurité</v>
      </c>
      <c r="G114" t="str">
        <v>Avec le consentement de son conducteur, par un agent de prévention et de sécurité, placé sous l’autorité d’un OPJ</v>
      </c>
      <c r="H114" t="str">
        <v>Sans le consentement de son conducteur, par un agent de prévention et de sécurité mais sous le contrôle d’un OPJ</v>
      </c>
      <c r="I114" t="str">
        <v>Aucune des autres réponses</v>
      </c>
    </row>
    <row r="115" spans="1:9" ht="15.75" x14ac:dyDescent="0.25">
      <c r="A115" s="14" t="s">
        <v>884</v>
      </c>
      <c r="B115" s="17">
        <f t="shared" si="14"/>
        <v>2</v>
      </c>
      <c r="C115" s="17" t="str">
        <f t="shared" si="15"/>
        <v>Lors de l’inspection d’un bagage, si une personne refuse de se dessaisir d’objets pouvant devenir des armes par destination (bouteille en verre, canette, casque, …) :|L’agent ne peut lui autoriser l’accès que si les objets sont enveloppés dans un sac plastique transparent « thermo-soudé »|L’agent doit lui refuser l’accès à la manifestation conformément aux consignes spécifiques du site|L’agent doit systématiquement faire intervenir un OPJ|L’agent doit contraindre par la force la personne à se dessaisir des objets|Aucune des autres réponses</v>
      </c>
      <c r="D115" t="str" cm="1">
        <f t="array" ref="D115:I115">_xlfn.TEXTSPLIT(C115,"|")</f>
        <v>Lors de l’inspection d’un bagage, si une personne refuse de se dessaisir d’objets pouvant devenir des armes par destination (bouteille en verre, canette, casque, …) :</v>
      </c>
      <c r="E115" t="str">
        <v>L’agent ne peut lui autoriser l’accès que si les objets sont enveloppés dans un sac plastique transparent « thermo-soudé »</v>
      </c>
      <c r="F115" t="str">
        <v>L’agent doit lui refuser l’accès à la manifestation conformément aux consignes spécifiques du site</v>
      </c>
      <c r="G115" t="str">
        <v>L’agent doit systématiquement faire intervenir un OPJ</v>
      </c>
      <c r="H115" t="str">
        <v>L’agent doit contraindre par la force la personne à se dessaisir des objets</v>
      </c>
      <c r="I115" t="str">
        <v>Aucune des autres réponses</v>
      </c>
    </row>
    <row r="116" spans="1:9" ht="15.75" x14ac:dyDescent="0.25">
      <c r="A116" s="14" t="s">
        <v>885</v>
      </c>
      <c r="B116" s="17">
        <f t="shared" si="14"/>
        <v>2</v>
      </c>
      <c r="C116" s="17" t="str">
        <f t="shared" si="15"/>
        <v>Quel est le risque majeur de clôturer un site pour une manifestation culturelle ?|Provoquer des attroupements à l’extérieur du site|Rendre l’évacuation plus difficile|Aucun, la clôture supprime tous les risques|Engorgement important à l’entrée du site|Aucune des autres réponses</v>
      </c>
      <c r="D116" t="str" cm="1">
        <f t="array" ref="D116:I116">_xlfn.TEXTSPLIT(C116,"|")</f>
        <v>Quel est le risque majeur de clôturer un site pour une manifestation culturelle ?</v>
      </c>
      <c r="E116" t="str">
        <v>Provoquer des attroupements à l’extérieur du site</v>
      </c>
      <c r="F116" t="str">
        <v>Rendre l’évacuation plus difficile</v>
      </c>
      <c r="G116" t="str">
        <v>Aucun, la clôture supprime tous les risques</v>
      </c>
      <c r="H116" t="str">
        <v>Engorgement important à l’entrée du site</v>
      </c>
      <c r="I116" t="str">
        <v>Aucune des autres réponses</v>
      </c>
    </row>
    <row r="117" spans="1:9" ht="15.75" x14ac:dyDescent="0.25">
      <c r="A117" s="14" t="s">
        <v>886</v>
      </c>
      <c r="B117" s="17">
        <f t="shared" si="14"/>
        <v>2</v>
      </c>
      <c r="C117" s="17" t="str">
        <f t="shared" si="15"/>
        <v>Quel est le risque principal lors d’un rassemblement sportif ?|Ne pas disposer d’agents féminins pour pratiquer les palpations|Les tentatives d’introduction des VIP dans les zones privatives|La fraude aux faux billets|Les débordements des supporters|Aucune des autres réponses</v>
      </c>
      <c r="D117" t="str" cm="1">
        <f t="array" ref="D117:I117">_xlfn.TEXTSPLIT(C117,"|")</f>
        <v>Quel est le risque principal lors d’un rassemblement sportif ?</v>
      </c>
      <c r="E117" t="str">
        <v>Ne pas disposer d’agents féminins pour pratiquer les palpations</v>
      </c>
      <c r="F117" t="str">
        <v>Les tentatives d’introduction des VIP dans les zones privatives</v>
      </c>
      <c r="G117" t="str">
        <v>La fraude aux faux billets</v>
      </c>
      <c r="H117" t="str">
        <v>Les débordements des supporters</v>
      </c>
      <c r="I117" t="str">
        <v>Aucune des autres réponses</v>
      </c>
    </row>
    <row r="118" spans="1:9" ht="15.75" x14ac:dyDescent="0.25">
      <c r="A118" s="14" t="s">
        <v>887</v>
      </c>
      <c r="B118" s="17">
        <f t="shared" si="14"/>
        <v>2</v>
      </c>
      <c r="C118" s="17" t="str">
        <f t="shared" si="15"/>
        <v>Parmi ces éléments, quels sont les facteurs aggravant du risque de gestion de l’événement ?|Des billets pré-vendus en totalité longtemps à l’avance sans places réservées|Des billets pré-vendus en totalité longtemps à l’avance avec places réservées|Des billets vendus au dernier moment sans places réservées|Des billets vendus au dernier moment avec places réservées|Aucune des autres réponses</v>
      </c>
      <c r="D118" t="str" cm="1">
        <f t="array" ref="D118:I118">_xlfn.TEXTSPLIT(C118,"|")</f>
        <v>Parmi ces éléments, quels sont les facteurs aggravant du risque de gestion de l’événement ?</v>
      </c>
      <c r="E118" t="str">
        <v>Des billets pré-vendus en totalité longtemps à l’avance sans places réservées</v>
      </c>
      <c r="F118" t="str">
        <v>Des billets pré-vendus en totalité longtemps à l’avance avec places réservées</v>
      </c>
      <c r="G118" t="str">
        <v>Des billets vendus au dernier moment sans places réservées</v>
      </c>
      <c r="H118" t="str">
        <v>Des billets vendus au dernier moment avec places réservées</v>
      </c>
      <c r="I118" t="str">
        <v>Aucune des autres réponses</v>
      </c>
    </row>
    <row r="119" spans="1:9" ht="15.75" x14ac:dyDescent="0.25">
      <c r="A119" s="14" t="s">
        <v>888</v>
      </c>
      <c r="B119" s="17">
        <f t="shared" si="14"/>
        <v>2</v>
      </c>
      <c r="C119" s="17" t="str">
        <f t="shared" si="15"/>
        <v>Avant que ne commence une manifestation, les agents composant le service de sécurité d’un grand rassemblement ont principalement pour rôle de :|Orienter les spectateurs dans les bonnes directions|Prévenir les journalistes à l’arrivée des VIP|Faire un selfie avec les stars de l’événement|Procéder à l’inspection des installations ou de la salle|Aucune des autres réponses</v>
      </c>
      <c r="D119" t="str" cm="1">
        <f t="array" ref="D119:I119">_xlfn.TEXTSPLIT(C119,"|")</f>
        <v>Avant que ne commence une manifestation, les agents composant le service de sécurité d’un grand rassemblement ont principalement pour rôle de :</v>
      </c>
      <c r="E119" t="str">
        <v>Orienter les spectateurs dans les bonnes directions</v>
      </c>
      <c r="F119" t="str">
        <v>Prévenir les journalistes à l’arrivée des VIP</v>
      </c>
      <c r="G119" t="str">
        <v>Faire un selfie avec les stars de l’événement</v>
      </c>
      <c r="H119" t="str">
        <v>Procéder à l’inspection des installations ou de la salle</v>
      </c>
      <c r="I119" t="str">
        <v>Aucune des autres réponses</v>
      </c>
    </row>
    <row r="120" spans="1:9" ht="15.75" x14ac:dyDescent="0.25">
      <c r="A120" s="14" t="s">
        <v>889</v>
      </c>
      <c r="B120" s="17">
        <f t="shared" si="14"/>
        <v>2</v>
      </c>
      <c r="C120" s="17" t="str">
        <f t="shared" si="15"/>
        <v>L’autorité de police peut imposer la présence d’un service d’ordre à l’organisateur d’une manifestation sportive ?|Non si l’État d’urgence attentat n’est pas décrété|Non si la manifestation est inférieure à 1500 personnes|Oui, si elle estime insuffisantes les mesures envisagées par les organisateurs|Oui, pour les manifestations de plus de 5000 personnes|Aucune des autres réponses</v>
      </c>
      <c r="D120" t="str" cm="1">
        <f t="array" ref="D120:I120">_xlfn.TEXTSPLIT(C120,"|")</f>
        <v>L’autorité de police peut imposer la présence d’un service d’ordre à l’organisateur d’une manifestation sportive ?</v>
      </c>
      <c r="E120" t="str">
        <v>Non si l’État d’urgence attentat n’est pas décrété</v>
      </c>
      <c r="F120" t="str">
        <v>Non si la manifestation est inférieure à 1500 personnes</v>
      </c>
      <c r="G120" t="str">
        <v>Oui, si elle estime insuffisantes les mesures envisagées par les organisateurs</v>
      </c>
      <c r="H120" t="str">
        <v>Oui, pour les manifestations de plus de 5000 personnes</v>
      </c>
      <c r="I120" t="str">
        <v>Aucune des autres réponses</v>
      </c>
    </row>
    <row r="121" spans="1:9" ht="15.75" x14ac:dyDescent="0.25">
      <c r="A121" s="14" t="s">
        <v>890</v>
      </c>
      <c r="B121" s="17">
        <f t="shared" si="14"/>
        <v>2</v>
      </c>
      <c r="C121" s="17" t="str">
        <f t="shared" si="15"/>
        <v>Dans une salle de concert, une personne ivre, qui a un comportement menaçant trouble la tranquillité des spectateurs :|Je dois faire appel à l’OPJ|Dès lors que la personne a franchi le Point d’Inspection Filtrage, c’est aux organisateurs de s’en occuper|Je ne peux pas appréhender la personne car elle n’a commis un délit puni d’une peine|Je l’emmène à l’écart par la force et l’enferme en situation de dégrisement|Aucune des autres réponses</v>
      </c>
      <c r="D121" t="str" cm="1">
        <f t="array" ref="D121:I121">_xlfn.TEXTSPLIT(C121,"|")</f>
        <v>Dans une salle de concert, une personne ivre, qui a un comportement menaçant trouble la tranquillité des spectateurs :</v>
      </c>
      <c r="E121" t="str">
        <v>Je dois faire appel à l’OPJ</v>
      </c>
      <c r="F121" t="str">
        <v>Dès lors que la personne a franchi le Point d’Inspection Filtrage, c’est aux organisateurs de s’en occuper</v>
      </c>
      <c r="G121" t="str">
        <v>Je ne peux pas appréhender la personne car elle n’a commis un délit puni d’une peine</v>
      </c>
      <c r="H121" t="str">
        <v>Je l’emmène à l’écart par la force et l’enferme en situation de dégrisement</v>
      </c>
      <c r="I121" t="str">
        <v>Aucune des autres réponses</v>
      </c>
    </row>
    <row r="122" spans="1:9" ht="15.75" x14ac:dyDescent="0.25">
      <c r="A122" s="14" t="s">
        <v>891</v>
      </c>
      <c r="B122" s="17">
        <f t="shared" si="14"/>
        <v>2</v>
      </c>
      <c r="C122" s="17" t="str">
        <f t="shared" si="15"/>
        <v>Quels peuvent être les acteurs autres que le public d’un événement qui nécessitent une attention particulière en matière de sûreté ?|Les journalistes de la presse|Les organisateurs|Les personnes accréditées (VIP)|Les artistes et personnels rattachés|Toutes les réponses sont exactes</v>
      </c>
      <c r="D122" t="str" cm="1">
        <f t="array" ref="D122:I122">_xlfn.TEXTSPLIT(C122,"|")</f>
        <v>Quels peuvent être les acteurs autres que le public d’un événement qui nécessitent une attention particulière en matière de sûreté ?</v>
      </c>
      <c r="E122" t="str">
        <v>Les journalistes de la presse</v>
      </c>
      <c r="F122" t="str">
        <v>Les organisateurs</v>
      </c>
      <c r="G122" t="str">
        <v>Les personnes accréditées (VIP)</v>
      </c>
      <c r="H122" t="str">
        <v>Les artistes et personnels rattachés</v>
      </c>
      <c r="I122" t="str">
        <v>Toutes les réponses sont exactes</v>
      </c>
    </row>
    <row r="123" spans="1:9" ht="15.75" x14ac:dyDescent="0.25">
      <c r="A123" s="14" t="s">
        <v>892</v>
      </c>
      <c r="B123" s="17">
        <f t="shared" si="14"/>
        <v>3</v>
      </c>
      <c r="C123" s="17" t="str">
        <f t="shared" si="15"/>
        <v>Les organisateurs de manifestations sportives, récréatives ou culturelles sont tenus (R211-22 du CSI) :|D’en faire la déclaration uniquement si elles sont sur la liste des événements exposés|D’en faire la déclaration aux maires ou aux Préfets de Police, si la manifestation peut atteindre plus de 1500 personnes|D’en faire la déclaration aux maires si la manifestation peut atteindre plus de 300 personnes et aux Préfets si elle dépasse 1500 personnes|D’en faire la déclaration au Préfet de région au moins un an avant|Aucune des autres réponses</v>
      </c>
      <c r="D123" t="str" cm="1">
        <f t="array" ref="D123:I123">_xlfn.TEXTSPLIT(C123,"|")</f>
        <v>Les organisateurs de manifestations sportives, récréatives ou culturelles sont tenus (R211-22 du CSI) :</v>
      </c>
      <c r="E123" t="str">
        <v>D’en faire la déclaration uniquement si elles sont sur la liste des événements exposés</v>
      </c>
      <c r="F123" t="str">
        <v>D’en faire la déclaration aux maires ou aux Préfets de Police, si la manifestation peut atteindre plus de 1500 personnes</v>
      </c>
      <c r="G123" t="str">
        <v>D’en faire la déclaration aux maires si la manifestation peut atteindre plus de 300 personnes et aux Préfets si elle dépasse 1500 personnes</v>
      </c>
      <c r="H123" t="str">
        <v>D’en faire la déclaration au Préfet de région au moins un an avant</v>
      </c>
      <c r="I123" t="str">
        <v>Aucune des autres réponses</v>
      </c>
    </row>
    <row r="124" spans="1:9" ht="15.75" x14ac:dyDescent="0.25">
      <c r="A124" s="15"/>
    </row>
    <row r="125" spans="1:9" x14ac:dyDescent="0.25">
      <c r="A125" s="6" t="s">
        <v>943</v>
      </c>
      <c r="B125" s="17">
        <f t="shared" ref="B125:B134" si="16">FIND(" – ",A125)</f>
        <v>10</v>
      </c>
      <c r="C125" s="17" t="str">
        <f t="shared" ref="C125:C134" si="17">RIGHT(A125, LEN(A125)-(B125+2))</f>
        <v>Vous intervenez sur une armoire électrique, quelle précaution devez-vous prendre ?|Contacter préalablement le fournisseur d’électricité|Vérifier que l’extincteur utilisé est plein|Mettre un appareil respiratoire isolant|Couper ou veiller à ce que l’électricité soit coupée|Aucune des réponses précédentes</v>
      </c>
      <c r="D125" t="str" cm="1">
        <f t="array" ref="D125:I125">_xlfn.TEXTSPLIT(C125,"|")</f>
        <v>Vous intervenez sur une armoire électrique, quelle précaution devez-vous prendre ?</v>
      </c>
      <c r="E125" t="str">
        <v>Contacter préalablement le fournisseur d’électricité</v>
      </c>
      <c r="F125" t="str">
        <v>Vérifier que l’extincteur utilisé est plein</v>
      </c>
      <c r="G125" t="str">
        <v>Mettre un appareil respiratoire isolant</v>
      </c>
      <c r="H125" t="str">
        <v>Couper ou veiller à ce que l’électricité soit coupée</v>
      </c>
      <c r="I125" t="str">
        <v>Aucune des réponses précédentes</v>
      </c>
    </row>
    <row r="126" spans="1:9" x14ac:dyDescent="0.25">
      <c r="A126" s="6" t="s">
        <v>944</v>
      </c>
      <c r="B126" s="17">
        <f t="shared" si="16"/>
        <v>10</v>
      </c>
      <c r="C126" s="17" t="str">
        <f t="shared" si="17"/>
        <v>Quelle est la bonne correspondance de classe de feu ?|B : Feu de gaz|C : Feu de solide|A : Feu de liquide|A : Feu de solide|Aucune des réponses précédentes</v>
      </c>
      <c r="D126" t="str" cm="1">
        <f t="array" ref="D126:I126">_xlfn.TEXTSPLIT(C126,"|")</f>
        <v>Quelle est la bonne correspondance de classe de feu ?</v>
      </c>
      <c r="E126" t="str">
        <v>B : Feu de gaz</v>
      </c>
      <c r="F126" t="str">
        <v>C : Feu de solide</v>
      </c>
      <c r="G126" t="str">
        <v>A : Feu de liquide</v>
      </c>
      <c r="H126" t="str">
        <v>A : Feu de solide</v>
      </c>
      <c r="I126" t="str">
        <v>Aucune des réponses précédentes</v>
      </c>
    </row>
    <row r="127" spans="1:9" x14ac:dyDescent="0.25">
      <c r="A127" s="6" t="s">
        <v>945</v>
      </c>
      <c r="B127" s="17">
        <f t="shared" si="16"/>
        <v>10</v>
      </c>
      <c r="C127" s="17" t="str">
        <f t="shared" si="17"/>
        <v>Vous découvrez une fuite importante sur une canalisation d’un R.I.A. Que faites-vous immédiatement après voir prévenu le P.C.S. ?|Je ferme la vanne de barrage du R.I.A.|Je fais appel au service de nettoyage|J’appelle les pompiers|Aucune des réponses précédentes</v>
      </c>
      <c r="D127" t="str" cm="1">
        <f t="array" ref="D127:H127">_xlfn.TEXTSPLIT(C127,"|")</f>
        <v>Vous découvrez une fuite importante sur une canalisation d’un R.I.A. Que faites-vous immédiatement après voir prévenu le P.C.S. ?</v>
      </c>
      <c r="E127" t="str">
        <v>Je ferme la vanne de barrage du R.I.A.</v>
      </c>
      <c r="F127" t="str">
        <v>Je fais appel au service de nettoyage</v>
      </c>
      <c r="G127" t="str">
        <v>J’appelle les pompiers</v>
      </c>
      <c r="H127" t="str">
        <v>Aucune des réponses précédentes</v>
      </c>
    </row>
    <row r="128" spans="1:9" x14ac:dyDescent="0.25">
      <c r="A128" s="6" t="s">
        <v>946</v>
      </c>
      <c r="B128" s="17">
        <f t="shared" si="16"/>
        <v>10</v>
      </c>
      <c r="C128" s="17" t="str">
        <f t="shared" si="17"/>
        <v>Le triangle du feu regroupe trois paramètres ?|Le carburant, le combustible et l’inhibition|Le comburant, le combustible, l’énergie d’activation|Le refroidissement|Aucune des réponses précédentes</v>
      </c>
      <c r="D128" t="str" cm="1">
        <f t="array" ref="D128:H128">_xlfn.TEXTSPLIT(C128,"|")</f>
        <v>Le triangle du feu regroupe trois paramètres ?</v>
      </c>
      <c r="E128" t="str">
        <v>Le carburant, le combustible et l’inhibition</v>
      </c>
      <c r="F128" t="str">
        <v>Le comburant, le combustible, l’énergie d’activation</v>
      </c>
      <c r="G128" t="str">
        <v>Le refroidissement</v>
      </c>
      <c r="H128" t="str">
        <v>Aucune des réponses précédentes</v>
      </c>
    </row>
    <row r="129" spans="1:9" x14ac:dyDescent="0.25">
      <c r="A129" s="6" t="s">
        <v>947</v>
      </c>
      <c r="B129" s="17">
        <f t="shared" si="16"/>
        <v>10</v>
      </c>
      <c r="C129" s="17" t="str">
        <f t="shared" si="17"/>
        <v>De quelle couleur peut être un extincteur ?|Rouge|Vert|Les deux|Aucune des réponses précédentes</v>
      </c>
      <c r="D129" t="str" cm="1">
        <f t="array" ref="D129:H129">_xlfn.TEXTSPLIT(C129,"|")</f>
        <v>De quelle couleur peut être un extincteur ?</v>
      </c>
      <c r="E129" t="str">
        <v>Rouge</v>
      </c>
      <c r="F129" t="str">
        <v>Vert</v>
      </c>
      <c r="G129" t="str">
        <v>Les deux</v>
      </c>
      <c r="H129" t="str">
        <v>Aucune des réponses précédentes</v>
      </c>
    </row>
    <row r="130" spans="1:9" x14ac:dyDescent="0.25">
      <c r="A130" s="6" t="s">
        <v>948</v>
      </c>
      <c r="B130" s="17">
        <f t="shared" si="16"/>
        <v>10</v>
      </c>
      <c r="C130" s="17" t="str">
        <f t="shared" si="17"/>
        <v>Dans quel cas doit-on rédiger un permis de feu ?|Lors de la mise en route des groupes électrogènes|A la mise en place d’une zone fumeur|A l’occasion des travaux par points chauds|Aucune des réponses précédentes</v>
      </c>
      <c r="D130" t="str" cm="1">
        <f t="array" ref="D130:H130">_xlfn.TEXTSPLIT(C130,"|")</f>
        <v>Dans quel cas doit-on rédiger un permis de feu ?</v>
      </c>
      <c r="E130" t="str">
        <v>Lors de la mise en route des groupes électrogènes</v>
      </c>
      <c r="F130" t="str">
        <v>A la mise en place d’une zone fumeur</v>
      </c>
      <c r="G130" t="str">
        <v>A l’occasion des travaux par points chauds</v>
      </c>
      <c r="H130" t="str">
        <v>Aucune des réponses précédentes</v>
      </c>
    </row>
    <row r="131" spans="1:9" x14ac:dyDescent="0.25">
      <c r="A131" s="6" t="s">
        <v>949</v>
      </c>
      <c r="B131" s="17">
        <f t="shared" si="16"/>
        <v>10</v>
      </c>
      <c r="C131" s="17" t="str">
        <f t="shared" si="17"/>
        <v>Vous êtes en poste au PC Sécurité, une alarme incendie retentit :|Vous arrêtez immédiatement le signal sonore et réarmez la zone|Vous appuyez sur l’évacuation générale|Vous finissez votre ronde et vous la prenez en compte|Vous contactez immédiatement votre collègue afin qu’il effectue immédiatement une levée de doute sur site|Aucune des réponses précédentes</v>
      </c>
      <c r="D131" t="str" cm="1">
        <f t="array" ref="D131:I131">_xlfn.TEXTSPLIT(C131,"|")</f>
        <v>Vous êtes en poste au PC Sécurité, une alarme incendie retentit :</v>
      </c>
      <c r="E131" t="str">
        <v>Vous arrêtez immédiatement le signal sonore et réarmez la zone</v>
      </c>
      <c r="F131" t="str">
        <v>Vous appuyez sur l’évacuation générale</v>
      </c>
      <c r="G131" t="str">
        <v>Vous finissez votre ronde et vous la prenez en compte</v>
      </c>
      <c r="H131" t="str">
        <v>Vous contactez immédiatement votre collègue afin qu’il effectue immédiatement une levée de doute sur site</v>
      </c>
      <c r="I131" t="str">
        <v>Aucune des réponses précédentes</v>
      </c>
    </row>
    <row r="132" spans="1:9" x14ac:dyDescent="0.25">
      <c r="A132" s="6" t="s">
        <v>950</v>
      </c>
      <c r="B132" s="17">
        <f t="shared" si="16"/>
        <v>10</v>
      </c>
      <c r="C132" s="17" t="str">
        <f t="shared" si="17"/>
        <v>Où trouve-t-on les consignes générales de sécurité|A proximité des sorties de secours|Dans les sanitaires|Dans les locaux techniques|Dans votre local|Aucune des réponses précédentes</v>
      </c>
      <c r="D132" t="str" cm="1">
        <f t="array" ref="D132:I132">_xlfn.TEXTSPLIT(C132,"|")</f>
        <v>Où trouve-t-on les consignes générales de sécurité</v>
      </c>
      <c r="E132" t="str">
        <v>A proximité des sorties de secours</v>
      </c>
      <c r="F132" t="str">
        <v>Dans les sanitaires</v>
      </c>
      <c r="G132" t="str">
        <v>Dans les locaux techniques</v>
      </c>
      <c r="H132" t="str">
        <v>Dans votre local</v>
      </c>
      <c r="I132" t="str">
        <v>Aucune des réponses précédentes</v>
      </c>
    </row>
    <row r="133" spans="1:9" x14ac:dyDescent="0.25">
      <c r="A133" s="6" t="s">
        <v>951</v>
      </c>
      <c r="B133" s="17">
        <f t="shared" si="16"/>
        <v>10</v>
      </c>
      <c r="C133" s="17" t="str">
        <f t="shared" si="17"/>
        <v>Indiquez le message d’alerte le plus efficace :|Nom de l’établissement, N° de téléphone, Nature du sinistre, Action menée|Nom, Prénom, adresse, action menée|Nom de l’établissement, N° de téléphone, Nature du sinistre, Adresse|Aucune des réponses précédentes</v>
      </c>
      <c r="D133" t="str" cm="1">
        <f t="array" ref="D133:H133">_xlfn.TEXTSPLIT(C133,"|")</f>
        <v>Indiquez le message d’alerte le plus efficace :</v>
      </c>
      <c r="E133" t="str">
        <v>Nom de l’établissement, N° de téléphone, Nature du sinistre, Action menée</v>
      </c>
      <c r="F133" t="str">
        <v>Nom, Prénom, adresse, action menée</v>
      </c>
      <c r="G133" t="str">
        <v>Nom de l’établissement, N° de téléphone, Nature du sinistre, Adresse</v>
      </c>
      <c r="H133" t="str">
        <v>Aucune des réponses précédentes</v>
      </c>
    </row>
    <row r="134" spans="1:9" x14ac:dyDescent="0.25">
      <c r="A134" s="6" t="s">
        <v>952</v>
      </c>
      <c r="B134" s="17">
        <f t="shared" si="16"/>
        <v>11</v>
      </c>
      <c r="C134" s="17" t="str">
        <f t="shared" si="17"/>
        <v>Qu’indique un voyant rouge sur le SSI ?|Un défaut|Un feu|Un dérangement|Un défaut de position de sécurité|Aucune des réponses précédentes</v>
      </c>
      <c r="D134" t="str" cm="1">
        <f t="array" ref="D134:I134">_xlfn.TEXTSPLIT(C134,"|")</f>
        <v>Qu’indique un voyant rouge sur le SSI ?</v>
      </c>
      <c r="E134" t="str">
        <v>Un défaut</v>
      </c>
      <c r="F134" t="str">
        <v>Un feu</v>
      </c>
      <c r="G134" t="str">
        <v>Un dérangement</v>
      </c>
      <c r="H134" t="str">
        <v>Un défaut de position de sécurité</v>
      </c>
      <c r="I134" t="str">
        <v>Aucune des réponses précédentes</v>
      </c>
    </row>
    <row r="136" spans="1:9" x14ac:dyDescent="0.25">
      <c r="A136" s="6" t="s">
        <v>1001</v>
      </c>
      <c r="B136" s="17">
        <f t="shared" ref="B136:B158" si="18">FIND(" – ",A136)</f>
        <v>10</v>
      </c>
      <c r="C136" s="17" t="str">
        <f t="shared" ref="C136:C158" si="19">RIGHT(A136, LEN(A136)-(B136+2))</f>
        <v>En cas de détection incendie, sur quelle unité le voyant est-il lumineux ?|Le CMSI, Centralisateur de Mise en Sécurité Incendie|Le SMSI, Système de Mise en Sécurité Incendie|Le DAS, Dispositif Actionné de Sécurité|Le SDI, Système de Détection Incendie|Aucune des réponses précédentes</v>
      </c>
      <c r="D136" t="str" cm="1">
        <f t="array" ref="D136:I136">_xlfn.TEXTSPLIT(C136,"|")</f>
        <v>En cas de détection incendie, sur quelle unité le voyant est-il lumineux ?</v>
      </c>
      <c r="E136" t="str">
        <v>Le CMSI, Centralisateur de Mise en Sécurité Incendie</v>
      </c>
      <c r="F136" t="str">
        <v>Le SMSI, Système de Mise en Sécurité Incendie</v>
      </c>
      <c r="G136" t="str">
        <v>Le DAS, Dispositif Actionné de Sécurité</v>
      </c>
      <c r="H136" t="str">
        <v>Le SDI, Système de Détection Incendie</v>
      </c>
      <c r="I136" t="str">
        <v>Aucune des réponses précédentes</v>
      </c>
    </row>
    <row r="137" spans="1:9" x14ac:dyDescent="0.25">
      <c r="A137" s="6" t="s">
        <v>1002</v>
      </c>
      <c r="B137" s="17">
        <f t="shared" si="18"/>
        <v>10</v>
      </c>
      <c r="C137" s="17" t="str">
        <f t="shared" si="19"/>
        <v>Quelle type d’alarme existe-il dans le fonctionnement d’un DATI ?|L’alarme semi-automatique|Aucune des réponses précédentes|La perte de verticalité|L’alarme aléatoire|Aucune des réponses précédentes</v>
      </c>
      <c r="D137" t="str" cm="1">
        <f t="array" ref="D137:I137">_xlfn.TEXTSPLIT(C137,"|")</f>
        <v>Quelle type d’alarme existe-il dans le fonctionnement d’un DATI ?</v>
      </c>
      <c r="E137" t="str">
        <v>L’alarme semi-automatique</v>
      </c>
      <c r="F137" t="str">
        <v>Aucune des réponses précédentes</v>
      </c>
      <c r="G137" t="str">
        <v>La perte de verticalité</v>
      </c>
      <c r="H137" t="str">
        <v>L’alarme aléatoire</v>
      </c>
      <c r="I137" t="str">
        <v>Aucune des réponses précédentes</v>
      </c>
    </row>
    <row r="138" spans="1:9" x14ac:dyDescent="0.25">
      <c r="A138" s="6" t="s">
        <v>1003</v>
      </c>
      <c r="B138" s="17">
        <f t="shared" si="18"/>
        <v>10</v>
      </c>
      <c r="C138" s="17" t="str">
        <f t="shared" si="19"/>
        <v>Quel est le signe distinctif réglementaire qui permet d’identifier un local électrique ?|Un symbole avec une tête de mort|Un triangle rouge|Un triangle jaune|Un panneau défense d’entrer|Aucune des réponses précédentes</v>
      </c>
      <c r="D138" t="str" cm="1">
        <f t="array" ref="D138:I138">_xlfn.TEXTSPLIT(C138,"|")</f>
        <v>Quel est le signe distinctif réglementaire qui permet d’identifier un local électrique ?</v>
      </c>
      <c r="E138" t="str">
        <v>Un symbole avec une tête de mort</v>
      </c>
      <c r="F138" t="str">
        <v>Un triangle rouge</v>
      </c>
      <c r="G138" t="str">
        <v>Un triangle jaune</v>
      </c>
      <c r="H138" t="str">
        <v>Un panneau défense d’entrer</v>
      </c>
      <c r="I138" t="str">
        <v>Aucune des réponses précédentes</v>
      </c>
    </row>
    <row r="139" spans="1:9" x14ac:dyDescent="0.25">
      <c r="A139" s="6" t="s">
        <v>1004</v>
      </c>
      <c r="B139" s="17">
        <f t="shared" si="18"/>
        <v>10</v>
      </c>
      <c r="C139" s="17" t="str">
        <f t="shared" si="19"/>
        <v>Votre équipement de protection du travailleur isolé est utile :|Uniquement au PC|Uniquement durant le circuit de vérification|Au poste de sécurité (PC) et en dehors du PC|Aucune des réponses précédentes</v>
      </c>
      <c r="D139" t="str" cm="1">
        <f t="array" ref="D139:H139">_xlfn.TEXTSPLIT(C139,"|")</f>
        <v>Votre équipement de protection du travailleur isolé est utile :</v>
      </c>
      <c r="E139" t="str">
        <v>Uniquement au PC</v>
      </c>
      <c r="F139" t="str">
        <v>Uniquement durant le circuit de vérification</v>
      </c>
      <c r="G139" t="str">
        <v>Au poste de sécurité (PC) et en dehors du PC</v>
      </c>
      <c r="H139" t="str">
        <v>Aucune des réponses précédentes</v>
      </c>
    </row>
    <row r="140" spans="1:9" x14ac:dyDescent="0.25">
      <c r="A140" s="6" t="s">
        <v>1005</v>
      </c>
      <c r="B140" s="17">
        <f t="shared" si="18"/>
        <v>10</v>
      </c>
      <c r="C140" s="17" t="str">
        <f t="shared" si="19"/>
        <v>Quelle habilitation minimum doit avoir un APS pour entrer dans un local avec TGBT (Tableau Général Basse Tension) ?|L’habilitation H1 / B1|L’habilitation H0 / B0|L’habilitation BR ou BC|L’habilitation BS ou BE manœuvre|Aucune habilitation n’est nécessaire</v>
      </c>
      <c r="D140" t="str" cm="1">
        <f t="array" ref="D140:I140">_xlfn.TEXTSPLIT(C140,"|")</f>
        <v>Quelle habilitation minimum doit avoir un APS pour entrer dans un local avec TGBT (Tableau Général Basse Tension) ?</v>
      </c>
      <c r="E140" t="str">
        <v>L’habilitation H1 / B1</v>
      </c>
      <c r="F140" t="str">
        <v>L’habilitation H0 / B0</v>
      </c>
      <c r="G140" t="str">
        <v>L’habilitation BR ou BC</v>
      </c>
      <c r="H140" t="str">
        <v>L’habilitation BS ou BE manœuvre</v>
      </c>
      <c r="I140" t="str">
        <v>Aucune habilitation n’est nécessaire</v>
      </c>
    </row>
    <row r="141" spans="1:9" x14ac:dyDescent="0.25">
      <c r="A141" s="6" t="s">
        <v>1006</v>
      </c>
      <c r="B141" s="17">
        <f t="shared" si="18"/>
        <v>10</v>
      </c>
      <c r="C141" s="17" t="str">
        <f t="shared" si="19"/>
        <v>Quel est l’un des modes de déclenchement dans le fonctionnement d’un DATI ?|En cas d’arrachement et/ou d’agression morale|En cas d’arrachement et/ou d’agression psychique|En cas d’arrachement et/ou d’agression physique|Aucune des réponses précédentes</v>
      </c>
      <c r="D141" t="str" cm="1">
        <f t="array" ref="D141:H141">_xlfn.TEXTSPLIT(C141,"|")</f>
        <v>Quel est l’un des modes de déclenchement dans le fonctionnement d’un DATI ?</v>
      </c>
      <c r="E141" t="str">
        <v>En cas d’arrachement et/ou d’agression morale</v>
      </c>
      <c r="F141" t="str">
        <v>En cas d’arrachement et/ou d’agression psychique</v>
      </c>
      <c r="G141" t="str">
        <v>En cas d’arrachement et/ou d’agression physique</v>
      </c>
      <c r="H141" t="str">
        <v>Aucune des réponses précédentes</v>
      </c>
    </row>
    <row r="142" spans="1:9" x14ac:dyDescent="0.25">
      <c r="A142" s="6" t="s">
        <v>1007</v>
      </c>
      <c r="B142" s="17">
        <f t="shared" si="18"/>
        <v>10</v>
      </c>
      <c r="C142" s="17" t="str">
        <f t="shared" si="19"/>
        <v>Quel est l’un des éléments qui permet le déclenchement du dispositif DATI ?|Le dispositif détecte une position anormale prolongée du travailleur|Le dispositif se déclenche en cas d’intrusion|Le dispositif se déclenche en cas de ronde réalisée partiellement|Le dispositif se déclenche en cas de détonation|Aucune des réponses précédentes</v>
      </c>
      <c r="D142" t="str" cm="1">
        <f t="array" ref="D142:I142">_xlfn.TEXTSPLIT(C142,"|")</f>
        <v>Quel est l’un des éléments qui permet le déclenchement du dispositif DATI ?</v>
      </c>
      <c r="E142" t="str">
        <v>Le dispositif détecte une position anormale prolongée du travailleur</v>
      </c>
      <c r="F142" t="str">
        <v>Le dispositif se déclenche en cas d’intrusion</v>
      </c>
      <c r="G142" t="str">
        <v>Le dispositif se déclenche en cas de ronde réalisée partiellement</v>
      </c>
      <c r="H142" t="str">
        <v>Le dispositif se déclenche en cas de détonation</v>
      </c>
      <c r="I142" t="str">
        <v>Aucune des réponses précédentes</v>
      </c>
    </row>
    <row r="143" spans="1:9" x14ac:dyDescent="0.25">
      <c r="A143" s="6" t="s">
        <v>1008</v>
      </c>
      <c r="B143" s="17">
        <f t="shared" si="18"/>
        <v>10</v>
      </c>
      <c r="C143" s="17" t="str">
        <f t="shared" si="19"/>
        <v>Que signifie le sigle DATI ?|Dispositif d’Alarme du Travailleur Isolé|Détecteur Automatique Temporisé d’Intrusion|Dispositif d’Alerte du Travailleur Isolé|Dispositif d’Alarme Travail Intérieur|Dispositif d’Alarme Technique Individuel</v>
      </c>
      <c r="D143" t="str" cm="1">
        <f t="array" ref="D143:I143">_xlfn.TEXTSPLIT(C143,"|")</f>
        <v>Que signifie le sigle DATI ?</v>
      </c>
      <c r="E143" t="str">
        <v>Dispositif d’Alarme du Travailleur Isolé</v>
      </c>
      <c r="F143" t="str">
        <v>Détecteur Automatique Temporisé d’Intrusion</v>
      </c>
      <c r="G143" t="str">
        <v>Dispositif d’Alerte du Travailleur Isolé</v>
      </c>
      <c r="H143" t="str">
        <v>Dispositif d’Alarme Travail Intérieur</v>
      </c>
      <c r="I143" t="str">
        <v>Dispositif d’Alarme Technique Individuel</v>
      </c>
    </row>
    <row r="144" spans="1:9" x14ac:dyDescent="0.25">
      <c r="A144" s="6" t="s">
        <v>1009</v>
      </c>
      <c r="B144" s="17">
        <f t="shared" si="18"/>
        <v>10</v>
      </c>
      <c r="C144" s="17" t="str">
        <f t="shared" si="19"/>
        <v>Pour vous, quelle réponse justifierait le port du DATI ?|J’effectue seul(e) une ronde sur un site|Je suis en surveillance de nuit avec 3 autres APS|Je suis affecté au contrôle d’accès d’un site face à l’accueil en activité|Je suis en surveillance derrière la ligne de caisse avec 3 autres APS|Aucune des réponses précédentes</v>
      </c>
      <c r="D144" t="str" cm="1">
        <f t="array" ref="D144:I144">_xlfn.TEXTSPLIT(C144,"|")</f>
        <v>Pour vous, quelle réponse justifierait le port du DATI ?</v>
      </c>
      <c r="E144" t="str">
        <v>J’effectue seul(e) une ronde sur un site</v>
      </c>
      <c r="F144" t="str">
        <v>Je suis en surveillance de nuit avec 3 autres APS</v>
      </c>
      <c r="G144" t="str">
        <v>Je suis affecté au contrôle d’accès d’un site face à l’accueil en activité</v>
      </c>
      <c r="H144" t="str">
        <v>Je suis en surveillance derrière la ligne de caisse avec 3 autres APS</v>
      </c>
      <c r="I144" t="str">
        <v>Aucune des réponses précédentes</v>
      </c>
    </row>
    <row r="145" spans="1:10" x14ac:dyDescent="0.25">
      <c r="A145" s="6" t="s">
        <v>1010</v>
      </c>
      <c r="B145" s="17">
        <f t="shared" si="18"/>
        <v>11</v>
      </c>
      <c r="C145" s="17" t="str">
        <f t="shared" si="19"/>
        <v>Quelles sont les limites de la basse tension en courant alternatif ?|De 500 V à 800 V|De 50 V à 1000 V|De 500 V à 1000 V|De 50 V à 750 V|Aucune des réponses précédentes</v>
      </c>
      <c r="D145" t="str" cm="1">
        <f t="array" ref="D145:I145">_xlfn.TEXTSPLIT(C145,"|")</f>
        <v>Quelles sont les limites de la basse tension en courant alternatif ?</v>
      </c>
      <c r="E145" t="str">
        <v>De 500 V à 800 V</v>
      </c>
      <c r="F145" t="str">
        <v>De 50 V à 1000 V</v>
      </c>
      <c r="G145" t="str">
        <v>De 500 V à 1000 V</v>
      </c>
      <c r="H145" t="str">
        <v>De 50 V à 750 V</v>
      </c>
      <c r="I145" t="str">
        <v>Aucune des réponses précédentes</v>
      </c>
    </row>
    <row r="146" spans="1:10" x14ac:dyDescent="0.25">
      <c r="A146" s="6" t="s">
        <v>1011</v>
      </c>
      <c r="B146" s="17">
        <f t="shared" si="18"/>
        <v>11</v>
      </c>
      <c r="C146" s="17" t="str">
        <f t="shared" si="19"/>
        <v>En cas de déclenchement du dispositif d’alarme d’un DATI, peut-on localiser avec précision une victime ?|Oui|Non</v>
      </c>
      <c r="D146" t="str" cm="1">
        <f t="array" ref="D146:F146">_xlfn.TEXTSPLIT(C146,"|")</f>
        <v>En cas de déclenchement du dispositif d’alarme d’un DATI, peut-on localiser avec précision une victime ?</v>
      </c>
      <c r="E146" t="str">
        <v>Oui</v>
      </c>
      <c r="F146" t="str">
        <v>Non</v>
      </c>
    </row>
    <row r="147" spans="1:10" x14ac:dyDescent="0.25">
      <c r="A147" s="6" t="s">
        <v>1012</v>
      </c>
      <c r="B147" s="17">
        <f t="shared" si="18"/>
        <v>11</v>
      </c>
      <c r="C147" s="17" t="str">
        <f t="shared" si="19"/>
        <v>Lors d’un appel du PC de télésurveillance pour une alarme intrusion sur votre site, vous devez en premier lieu :|Noter l’appel sur la main courante ou le cahier de poste|Confirmer votre identité par un mot de passe|Confirmer qu’il n’existe aucune anomalie avant d’avoir fait effectuer une levée de doute|Aucune des réponses précédentes</v>
      </c>
      <c r="D147" t="str" cm="1">
        <f t="array" ref="D147:H147">_xlfn.TEXTSPLIT(C147,"|")</f>
        <v>Lors d’un appel du PC de télésurveillance pour une alarme intrusion sur votre site, vous devez en premier lieu :</v>
      </c>
      <c r="E147" t="str">
        <v>Noter l’appel sur la main courante ou le cahier de poste</v>
      </c>
      <c r="F147" t="str">
        <v>Confirmer votre identité par un mot de passe</v>
      </c>
      <c r="G147" t="str">
        <v>Confirmer qu’il n’existe aucune anomalie avant d’avoir fait effectuer une levée de doute</v>
      </c>
      <c r="H147" t="str">
        <v>Aucune des réponses précédentes</v>
      </c>
    </row>
    <row r="148" spans="1:10" x14ac:dyDescent="0.25">
      <c r="A148" s="6" t="s">
        <v>1013</v>
      </c>
      <c r="B148" s="17">
        <f t="shared" si="18"/>
        <v>11</v>
      </c>
      <c r="C148" s="17" t="str">
        <f t="shared" si="19"/>
        <v>Quelles sont les principales qualités d’un système d’alarme ?|Inviolabilité, compatibilité, pluralité, fiabilité, sécurité négative|Inviolabilité, compatibilité, pluralité, fébrilité, sécurité négative|Inviolabilité, compatibilité, pluralité, fiabilité, sécurité positive|Inviolabilité, comptabilité, pluralité, fiabilité, sécurité positive|Aucune des réponses précédentes</v>
      </c>
      <c r="D148" t="str" cm="1">
        <f t="array" ref="D148:I148">_xlfn.TEXTSPLIT(C148,"|")</f>
        <v>Quelles sont les principales qualités d’un système d’alarme ?</v>
      </c>
      <c r="E148" t="str">
        <v>Inviolabilité, compatibilité, pluralité, fiabilité, sécurité négative</v>
      </c>
      <c r="F148" t="str">
        <v>Inviolabilité, compatibilité, pluralité, fébrilité, sécurité négative</v>
      </c>
      <c r="G148" t="str">
        <v>Inviolabilité, compatibilité, pluralité, fiabilité, sécurité positive</v>
      </c>
      <c r="H148" t="str">
        <v>Inviolabilité, comptabilité, pluralité, fiabilité, sécurité positive</v>
      </c>
      <c r="I148" t="str">
        <v>Aucune des réponses précédentes</v>
      </c>
    </row>
    <row r="149" spans="1:10" x14ac:dyDescent="0.25">
      <c r="A149" s="6" t="s">
        <v>1014</v>
      </c>
      <c r="B149" s="17">
        <f t="shared" si="18"/>
        <v>11</v>
      </c>
      <c r="C149" s="17" t="str">
        <f t="shared" si="19"/>
        <v>Vous êtes en poste au PC sécurité et une Alarme Incendie retentit|Vous appuyez sur l’évacuation générale pour être certain que tout le monde évacue|Vous arrêtez immédiatement le signal sonore et réarmez la zone, c’est sûrement rien comme d’habitude|Vous finissez ce que vous faisiez vous serez toujours à temps d’envoyer le rondier à son retour de ronde|Vous contactez sur le champ votre collègue pour qu’il effectue immédiatement une levée de doute sur zone|Aucune des réponses précédentes</v>
      </c>
      <c r="D149" t="str" cm="1">
        <f t="array" ref="D149:I149">_xlfn.TEXTSPLIT(C149,"|")</f>
        <v>Vous êtes en poste au PC sécurité et une Alarme Incendie retentit</v>
      </c>
      <c r="E149" t="str">
        <v>Vous appuyez sur l’évacuation générale pour être certain que tout le monde évacue</v>
      </c>
      <c r="F149" t="str">
        <v>Vous arrêtez immédiatement le signal sonore et réarmez la zone, c’est sûrement rien comme d’habitude</v>
      </c>
      <c r="G149" t="str">
        <v>Vous finissez ce que vous faisiez vous serez toujours à temps d’envoyer le rondier à son retour de ronde</v>
      </c>
      <c r="H149" t="str">
        <v>Vous contactez sur le champ votre collègue pour qu’il effectue immédiatement une levée de doute sur zone</v>
      </c>
      <c r="I149" t="str">
        <v>Aucune des réponses précédentes</v>
      </c>
    </row>
    <row r="150" spans="1:10" x14ac:dyDescent="0.25">
      <c r="A150" s="6" t="s">
        <v>1015</v>
      </c>
      <c r="B150" s="17">
        <f t="shared" si="18"/>
        <v>11</v>
      </c>
      <c r="C150" s="17" t="str">
        <f t="shared" si="19"/>
        <v>Votre collègue est en ronde, vous êtes en poste au PC et recevez une alarme intrusion, que faites-vous ?|Vous rejoignez au plus vite votre collègue pour intervenir plus efficacement|Vous effectuez vous-même la levée de doute|Vous demandez à votre collègue de se rendre sur le lieu précis de déclenchement de l’alarme pour effectuer la levée de doute|Vous attendez que votre collègue finisse sa ronde pour intervenir|Aucune des réponses précédentes</v>
      </c>
      <c r="D150" t="str" cm="1">
        <f t="array" ref="D150:I150">_xlfn.TEXTSPLIT(C150,"|")</f>
        <v>Votre collègue est en ronde, vous êtes en poste au PC et recevez une alarme intrusion, que faites-vous ?</v>
      </c>
      <c r="E150" t="str">
        <v>Vous rejoignez au plus vite votre collègue pour intervenir plus efficacement</v>
      </c>
      <c r="F150" t="str">
        <v>Vous effectuez vous-même la levée de doute</v>
      </c>
      <c r="G150" t="str">
        <v>Vous demandez à votre collègue de se rendre sur le lieu précis de déclenchement de l’alarme pour effectuer la levée de doute</v>
      </c>
      <c r="H150" t="str">
        <v>Vous attendez que votre collègue finisse sa ronde pour intervenir</v>
      </c>
      <c r="I150" t="str">
        <v>Aucune des réponses précédentes</v>
      </c>
    </row>
    <row r="151" spans="1:10" x14ac:dyDescent="0.25">
      <c r="A151" s="6" t="s">
        <v>1016</v>
      </c>
      <c r="B151" s="17">
        <f t="shared" si="18"/>
        <v>11</v>
      </c>
      <c r="C151" s="17" t="str">
        <f t="shared" si="19"/>
        <v>Vous êtes en poste au PC sécurité et une Alarme Incendie retentit|Vous finissez ce que vous faisiez vous serez toujours à temps d’envoyer le rondier à son retour de ronde|Vous appuyez sur l’évacuation générale pour être certain que tout le monde évacue|Vous arrêtez immédiatement le signal sonore et réarmez la zone, c’est sûrement rien comme d’habitude|Vous contactez sur le champ votre collègue pour qu’il effectue immédiatement une levée de doute sur zone|Aucune des réponses précédentes</v>
      </c>
      <c r="D151" t="str" cm="1">
        <f t="array" ref="D151:I151">_xlfn.TEXTSPLIT(C151,"|")</f>
        <v>Vous êtes en poste au PC sécurité et une Alarme Incendie retentit</v>
      </c>
      <c r="E151" t="str">
        <v>Vous finissez ce que vous faisiez vous serez toujours à temps d’envoyer le rondier à son retour de ronde</v>
      </c>
      <c r="F151" t="str">
        <v>Vous appuyez sur l’évacuation générale pour être certain que tout le monde évacue</v>
      </c>
      <c r="G151" t="str">
        <v>Vous arrêtez immédiatement le signal sonore et réarmez la zone, c’est sûrement rien comme d’habitude</v>
      </c>
      <c r="H151" t="str">
        <v>Vous contactez sur le champ votre collègue pour qu’il effectue immédiatement une levée de doute sur zone</v>
      </c>
      <c r="I151" t="str">
        <v>Aucune des réponses précédentes</v>
      </c>
    </row>
    <row r="152" spans="1:10" x14ac:dyDescent="0.25">
      <c r="A152" s="6" t="s">
        <v>1017</v>
      </c>
      <c r="B152" s="17">
        <f t="shared" si="18"/>
        <v>11</v>
      </c>
      <c r="C152" s="17" t="str">
        <f t="shared" si="19"/>
        <v>Vous êtes en poste, les pompiers arrivent sur le site sinistré. Vous êtes informé que la voie d’accès principale est bloquée par un camion stationné. Que faites-vous en priorité ?|Je propose aux pompiers d’emprunter un autre accès qui est bien libre|J’autorise les pompiers à pousser le camion, ils en ont l’obligation|J’appelle les personnels de l’usine, au point de rassemblement, pour déplacer le véhicule|J’appelle la Fourrière|Aucune des réponses précédentes</v>
      </c>
      <c r="D152" t="str" cm="1">
        <f t="array" ref="D152:I152">_xlfn.TEXTSPLIT(C152,"|")</f>
        <v>Vous êtes en poste, les pompiers arrivent sur le site sinistré. Vous êtes informé que la voie d’accès principale est bloquée par un camion stationné. Que faites-vous en priorité ?</v>
      </c>
      <c r="E152" t="str">
        <v>Je propose aux pompiers d’emprunter un autre accès qui est bien libre</v>
      </c>
      <c r="F152" t="str">
        <v>J’autorise les pompiers à pousser le camion, ils en ont l’obligation</v>
      </c>
      <c r="G152" t="str">
        <v>J’appelle les personnels de l’usine, au point de rassemblement, pour déplacer le véhicule</v>
      </c>
      <c r="H152" t="str">
        <v>J’appelle la Fourrière</v>
      </c>
      <c r="I152" t="str">
        <v>Aucune des réponses précédentes</v>
      </c>
    </row>
    <row r="153" spans="1:10" x14ac:dyDescent="0.25">
      <c r="A153" s="6" t="s">
        <v>1018</v>
      </c>
      <c r="B153" s="17">
        <f t="shared" si="18"/>
        <v>11</v>
      </c>
      <c r="C153" s="17" t="str">
        <f t="shared" si="19"/>
        <v>Lors d’un orage, une coupure de courant intervient, que faites-vous ?|Rien|Réarmer le disjoncteur principal|Vous cherchez les bougies|J’applique les consignes|Aucune des réponses précédentes</v>
      </c>
      <c r="D153" t="str" cm="1">
        <f t="array" ref="D153:I153">_xlfn.TEXTSPLIT(C153,"|")</f>
        <v>Lors d’un orage, une coupure de courant intervient, que faites-vous ?</v>
      </c>
      <c r="E153" t="str">
        <v>Rien</v>
      </c>
      <c r="F153" t="str">
        <v>Réarmer le disjoncteur principal</v>
      </c>
      <c r="G153" t="str">
        <v>Vous cherchez les bougies</v>
      </c>
      <c r="H153" t="str">
        <v>J’applique les consignes</v>
      </c>
      <c r="I153" t="str">
        <v>Aucune des réponses précédentes</v>
      </c>
    </row>
    <row r="154" spans="1:10" x14ac:dyDescent="0.25">
      <c r="A154" s="6" t="s">
        <v>1019</v>
      </c>
      <c r="B154" s="17">
        <f t="shared" si="18"/>
        <v>11</v>
      </c>
      <c r="C154" s="17" t="str">
        <f t="shared" si="19"/>
        <v>Vous êtes seul sur site lors d’une ronde, vous constatez un incendie, que faites-vous en premier ?|J’appelle les pompiers|Je compose le 17|Je rends compte au PCS et je tente l’extinction|J’ai obligation de prendre un extincteur pour éteindre l’incendie|Aucune des réponses précédentes</v>
      </c>
      <c r="D154" t="str" cm="1">
        <f t="array" ref="D154:I154">_xlfn.TEXTSPLIT(C154,"|")</f>
        <v>Vous êtes seul sur site lors d’une ronde, vous constatez un incendie, que faites-vous en premier ?</v>
      </c>
      <c r="E154" t="str">
        <v>J’appelle les pompiers</v>
      </c>
      <c r="F154" t="str">
        <v>Je compose le 17</v>
      </c>
      <c r="G154" t="str">
        <v>Je rends compte au PCS et je tente l’extinction</v>
      </c>
      <c r="H154" t="str">
        <v>J’ai obligation de prendre un extincteur pour éteindre l’incendie</v>
      </c>
      <c r="I154" t="str">
        <v>Aucune des réponses précédentes</v>
      </c>
    </row>
    <row r="155" spans="1:10" x14ac:dyDescent="0.25">
      <c r="A155" s="6" t="s">
        <v>1020</v>
      </c>
      <c r="B155" s="17">
        <f t="shared" si="18"/>
        <v>11</v>
      </c>
      <c r="C155" s="17" t="str">
        <f t="shared" si="19"/>
        <v>Le courant est dangereux à partir de :|700 V en courant alternatif|500 V en courant alternatif|50 V en courant alternatif|25 V en courant continu|Aucune des réponses précédentes</v>
      </c>
      <c r="D155" t="str" cm="1">
        <f t="array" ref="D155:I155">_xlfn.TEXTSPLIT(C155,"|")</f>
        <v>Le courant est dangereux à partir de :</v>
      </c>
      <c r="E155" t="str">
        <v>700 V en courant alternatif</v>
      </c>
      <c r="F155" t="str">
        <v>500 V en courant alternatif</v>
      </c>
      <c r="G155" t="str">
        <v>50 V en courant alternatif</v>
      </c>
      <c r="H155" t="str">
        <v>25 V en courant continu</v>
      </c>
      <c r="I155" t="str">
        <v>Aucune des réponses précédentes</v>
      </c>
    </row>
    <row r="156" spans="1:10" x14ac:dyDescent="0.25">
      <c r="A156" s="6" t="s">
        <v>1021</v>
      </c>
      <c r="B156" s="17">
        <f t="shared" si="18"/>
        <v>11</v>
      </c>
      <c r="C156" s="17" t="str">
        <f t="shared" si="19"/>
        <v>Qui délivre l’habilitation électrique ?|L’employeur|Le formateur|Le chargé de travaux|Aucune des réponses précédentes</v>
      </c>
      <c r="D156" t="str" cm="1">
        <f t="array" ref="D156:H156">_xlfn.TEXTSPLIT(C156,"|")</f>
        <v>Qui délivre l’habilitation électrique ?</v>
      </c>
      <c r="E156" t="str">
        <v>L’employeur</v>
      </c>
      <c r="F156" t="str">
        <v>Le formateur</v>
      </c>
      <c r="G156" t="str">
        <v>Le chargé de travaux</v>
      </c>
      <c r="H156" t="str">
        <v>Aucune des réponses précédentes</v>
      </c>
    </row>
    <row r="157" spans="1:10" x14ac:dyDescent="0.25">
      <c r="A157" s="6" t="s">
        <v>1022</v>
      </c>
      <c r="B157" s="17">
        <f t="shared" si="18"/>
        <v>11</v>
      </c>
      <c r="C157" s="17" t="str">
        <f t="shared" si="19"/>
        <v>Qu’est-ce qu’une alarme restreinte ?|C’est un signal sonore qui alerte une partie du personnel pour évacuer|C’est un signal visuel et sonore qui informe le PC pour effectuer une levée de doute|C’est un signal sonore qui alerte l’ensemble des occupants pour évacuer|C’est un signal horizontal et vertical qui guide les occupants vers la sortie|Aucune des réponses précédentes</v>
      </c>
      <c r="D157" t="str" cm="1">
        <f t="array" ref="D157:I157">_xlfn.TEXTSPLIT(C157,"|")</f>
        <v>Qu’est-ce qu’une alarme restreinte ?</v>
      </c>
      <c r="E157" t="str">
        <v>C’est un signal sonore qui alerte une partie du personnel pour évacuer</v>
      </c>
      <c r="F157" t="str">
        <v>C’est un signal visuel et sonore qui informe le PC pour effectuer une levée de doute</v>
      </c>
      <c r="G157" t="str">
        <v>C’est un signal sonore qui alerte l’ensemble des occupants pour évacuer</v>
      </c>
      <c r="H157" t="str">
        <v>C’est un signal horizontal et vertical qui guide les occupants vers la sortie</v>
      </c>
      <c r="I157" t="str">
        <v>Aucune des réponses précédentes</v>
      </c>
    </row>
    <row r="158" spans="1:10" x14ac:dyDescent="0.25">
      <c r="A158" s="6" t="s">
        <v>1023</v>
      </c>
      <c r="B158" s="17">
        <f t="shared" si="18"/>
        <v>11</v>
      </c>
      <c r="C158" s="17" t="str">
        <f t="shared" si="19"/>
        <v>Dans une usine en activité, suite à un incendie, une évacuation générale es déclenchée, les pompiers arrivent, agent au PC, que faites-vous en priorité ?|Je remets les plans d’évacuation parfaitement à jour aux pompiers qui savent où aller|Je vérifie rapidement les cartes professionnelles des pompiers|Je dépêche un agent pour les accueillir et les guider|Je demande aux agents d’utiliser les extincteurs pour maîtriser l’incendie|Aucune des réponses précédentes</v>
      </c>
      <c r="D158" t="str" cm="1">
        <f t="array" ref="D158:I158">_xlfn.TEXTSPLIT(C158,"|")</f>
        <v>Dans une usine en activité, suite à un incendie, une évacuation générale es déclenchée, les pompiers arrivent, agent au PC, que faites-vous en priorité ?</v>
      </c>
      <c r="E158" t="str">
        <v>Je remets les plans d’évacuation parfaitement à jour aux pompiers qui savent où aller</v>
      </c>
      <c r="F158" t="str">
        <v>Je vérifie rapidement les cartes professionnelles des pompiers</v>
      </c>
      <c r="G158" t="str">
        <v>Je dépêche un agent pour les accueillir et les guider</v>
      </c>
      <c r="H158" t="str">
        <v>Je demande aux agents d’utiliser les extincteurs pour maîtriser l’incendie</v>
      </c>
      <c r="I158" t="str">
        <v>Aucune des réponses précédentes</v>
      </c>
    </row>
    <row r="160" spans="1:10" x14ac:dyDescent="0.25">
      <c r="A160" s="18" t="s">
        <v>1199</v>
      </c>
      <c r="B160" s="17">
        <f t="shared" ref="B160" si="20">FIND(" - ",A160)</f>
        <v>2</v>
      </c>
      <c r="C160" s="17" t="str">
        <f t="shared" ref="C160" si="21">RIGHT(A160, LEN(A160)-(B160+2))</f>
        <v>[UV7] Que signifie le R de N.R.B.C-E ?|Radiologique|Radicalisé|Radioactif|Aucune des autres réponses|Rayonnant|A</v>
      </c>
      <c r="D160" t="str" cm="1">
        <f t="array" ref="D160:J160">_xlfn.TEXTSPLIT(C160,"|")</f>
        <v>[UV7] Que signifie le R de N.R.B.C-E ?</v>
      </c>
      <c r="E160" t="str">
        <v>Radiologique</v>
      </c>
      <c r="F160" t="str">
        <v>Radicalisé</v>
      </c>
      <c r="G160" t="str">
        <v>Radioactif</v>
      </c>
      <c r="H160" t="str">
        <v>Aucune des autres réponses</v>
      </c>
      <c r="I160" t="str">
        <v>Rayonnant</v>
      </c>
      <c r="J160" t="str">
        <v>A</v>
      </c>
    </row>
    <row r="161" spans="1:10" x14ac:dyDescent="0.25">
      <c r="A161" s="18" t="s">
        <v>1200</v>
      </c>
      <c r="B161" s="17">
        <f t="shared" ref="B161:B214" si="22">FIND(" - ",A161)</f>
        <v>2</v>
      </c>
      <c r="C161" s="17" t="str">
        <f t="shared" ref="C161:C214" si="23">RIGHT(A161, LEN(A161)-(B161+2))</f>
        <v>[UV7] Le Pneumothorax peut être occasionné par :|Toutes les réponses sont bonnes|Une explosion (Blast primaire)|Une perforation par une côte|Une plaie pénétrante par arme blanche|Une plaie pénétrante par balle|A</v>
      </c>
      <c r="D161" t="str" cm="1">
        <f t="array" ref="D161:J161">_xlfn.TEXTSPLIT(C161,"|")</f>
        <v>[UV7] Le Pneumothorax peut être occasionné par :</v>
      </c>
      <c r="E161" t="str">
        <v>Toutes les réponses sont bonnes</v>
      </c>
      <c r="F161" t="str">
        <v>Une explosion (Blast primaire)</v>
      </c>
      <c r="G161" t="str">
        <v>Une perforation par une côte</v>
      </c>
      <c r="H161" t="str">
        <v>Une plaie pénétrante par arme blanche</v>
      </c>
      <c r="I161" t="str">
        <v>Une plaie pénétrante par balle</v>
      </c>
      <c r="J161" t="str">
        <v>A</v>
      </c>
    </row>
    <row r="162" spans="1:10" x14ac:dyDescent="0.25">
      <c r="A162" s="18" t="s">
        <v>1201</v>
      </c>
      <c r="B162" s="17">
        <f t="shared" si="22"/>
        <v>2</v>
      </c>
      <c r="C162" s="17" t="str">
        <f t="shared" si="23"/>
        <v>[UV7] Parmi ces infractions, laquelle porte atteinte aux intérêts fondamentaux de la nation ?|La délation|L’abus de droit public|La rébellion|Le sabotage|La violation de domicile|D</v>
      </c>
      <c r="D162" t="str" cm="1">
        <f t="array" ref="D162:J162">_xlfn.TEXTSPLIT(C162,"|")</f>
        <v>[UV7] Parmi ces infractions, laquelle porte atteinte aux intérêts fondamentaux de la nation ?</v>
      </c>
      <c r="E162" t="str">
        <v>La délation</v>
      </c>
      <c r="F162" t="str">
        <v>L’abus de droit public</v>
      </c>
      <c r="G162" t="str">
        <v>La rébellion</v>
      </c>
      <c r="H162" t="str">
        <v>Le sabotage</v>
      </c>
      <c r="I162" t="str">
        <v>La violation de domicile</v>
      </c>
      <c r="J162" t="str">
        <v>D</v>
      </c>
    </row>
    <row r="163" spans="1:10" x14ac:dyDescent="0.25">
      <c r="A163" s="18" t="s">
        <v>1202</v>
      </c>
      <c r="B163" s="17">
        <f t="shared" si="22"/>
        <v>2</v>
      </c>
      <c r="C163" s="17" t="str">
        <f t="shared" si="23"/>
        <v>[UV7] Dans le cadre d’un risque d’attentat, que peut faire le Préfet ?|Décréter l’état d’urgence, mais seulement au niveau “vigilance”|Faire procéder à des fouilles à corps par des ASP|Accroître les contrôles aux frontières|Aucune des autres réponses|Interdire la circulation, instaurer un couvre-feu et limiter les allées/venues des personnes|E</v>
      </c>
      <c r="D163" t="str" cm="1">
        <f t="array" ref="D163:J163">_xlfn.TEXTSPLIT(C163,"|")</f>
        <v>[UV7] Dans le cadre d’un risque d’attentat, que peut faire le Préfet ?</v>
      </c>
      <c r="E163" t="str">
        <v>Décréter l’état d’urgence, mais seulement au niveau “vigilance”</v>
      </c>
      <c r="F163" t="str">
        <v>Faire procéder à des fouilles à corps par des ASP</v>
      </c>
      <c r="G163" t="str">
        <v>Accroître les contrôles aux frontières</v>
      </c>
      <c r="H163" t="str">
        <v>Aucune des autres réponses</v>
      </c>
      <c r="I163" t="str">
        <v>Interdire la circulation, instaurer un couvre-feu et limiter les allées/venues des personnes</v>
      </c>
      <c r="J163" t="str">
        <v>E</v>
      </c>
    </row>
    <row r="164" spans="1:10" x14ac:dyDescent="0.25">
      <c r="A164" s="18" t="s">
        <v>1203</v>
      </c>
      <c r="B164" s="17">
        <f t="shared" si="22"/>
        <v>2</v>
      </c>
      <c r="C164" s="17" t="str">
        <f t="shared" si="23"/>
        <v>[UV7] Témoin direct d’un attentat en cours sur votre site, quelles consignes à suivre sont les plus appropriées ?|Alerter les personnes autour de vous|Si possible, aider les autres personnes à s’échapper|Laisser vos affaires derrière vous|Si vous ne pouvez pas courir, se confiner, éteindre la lumière et couper le son des appareils à proximité|Toutes les réponses précédentes sont exactes|E</v>
      </c>
      <c r="D164" t="str" cm="1">
        <f t="array" ref="D164:J164">_xlfn.TEXTSPLIT(C164,"|")</f>
        <v>[UV7] Témoin direct d’un attentat en cours sur votre site, quelles consignes à suivre sont les plus appropriées ?</v>
      </c>
      <c r="E164" t="str">
        <v>Alerter les personnes autour de vous</v>
      </c>
      <c r="F164" t="str">
        <v>Si possible, aider les autres personnes à s’échapper</v>
      </c>
      <c r="G164" t="str">
        <v>Laisser vos affaires derrière vous</v>
      </c>
      <c r="H164" t="str">
        <v>Si vous ne pouvez pas courir, se confiner, éteindre la lumière et couper le son des appareils à proximité</v>
      </c>
      <c r="I164" t="str">
        <v>Toutes les réponses précédentes sont exactes</v>
      </c>
      <c r="J164" t="str">
        <v>E</v>
      </c>
    </row>
    <row r="165" spans="1:10" x14ac:dyDescent="0.25">
      <c r="A165" s="18" t="s">
        <v>1204</v>
      </c>
      <c r="B165" s="17">
        <f t="shared" si="22"/>
        <v>2</v>
      </c>
      <c r="C165" s="17" t="str">
        <f t="shared" si="23"/>
        <v>[UV11] Un groupe d’individus cagoulés et armés pénètre dans votre établissement et vous êtes seul : que faites-vous ?|J’appelle la relève pour me venir en aide le plus tôt possible|Je m’enfuis et je fais appel aux forces de l’ordre le plus rapidement possible|Je m’enfuis si je peux ou sinon je me confine, et je contacte le 114 par sms|Aucune des autres réponses|Je dois agir physiquement pour les expulser de l’établissement|C</v>
      </c>
      <c r="D165" t="str" cm="1">
        <f t="array" ref="D165:J165">_xlfn.TEXTSPLIT(C165,"|")</f>
        <v>[UV11] Un groupe d’individus cagoulés et armés pénètre dans votre établissement et vous êtes seul : que faites-vous ?</v>
      </c>
      <c r="E165" t="str">
        <v>J’appelle la relève pour me venir en aide le plus tôt possible</v>
      </c>
      <c r="F165" t="str">
        <v>Je m’enfuis et je fais appel aux forces de l’ordre le plus rapidement possible</v>
      </c>
      <c r="G165" t="str">
        <v>Je m’enfuis si je peux ou sinon je me confine, et je contacte le 114 par sms</v>
      </c>
      <c r="H165" t="str">
        <v>Aucune des autres réponses</v>
      </c>
      <c r="I165" t="str">
        <v>Je dois agir physiquement pour les expulser de l’établissement</v>
      </c>
      <c r="J165" t="str">
        <v>C</v>
      </c>
    </row>
    <row r="166" spans="1:10" x14ac:dyDescent="0.25">
      <c r="A166" s="18" t="s">
        <v>1205</v>
      </c>
      <c r="B166" s="17">
        <f t="shared" si="22"/>
        <v>2</v>
      </c>
      <c r="C166" s="17" t="str">
        <f t="shared" si="23"/>
        <v>[UV9] Un agent de prévention et de sécurité a-t-il le droit de pratiquer des palpations de sécurité lors de manifestations sportives, récréatives ou culturelles ?|Oui, en toutes circonstances|Oui, s’il est habilité par son entreprise|Non, sauf s’il est habilité par son employeur|Aucune des autres réponses|Oui, si la manifestation dépasse 300 personnes et sous le contrôle d’un OPJ et que la personne palpée soit du même sexe que l’agent de sécurité|E</v>
      </c>
      <c r="D166" t="str" cm="1">
        <f t="array" ref="D166:J166">_xlfn.TEXTSPLIT(C166,"|")</f>
        <v>[UV9] Un agent de prévention et de sécurité a-t-il le droit de pratiquer des palpations de sécurité lors de manifestations sportives, récréatives ou culturelles ?</v>
      </c>
      <c r="E166" t="str">
        <v>Oui, en toutes circonstances</v>
      </c>
      <c r="F166" t="str">
        <v>Oui, s’il est habilité par son entreprise</v>
      </c>
      <c r="G166" t="str">
        <v>Non, sauf s’il est habilité par son employeur</v>
      </c>
      <c r="H166" t="str">
        <v>Aucune des autres réponses</v>
      </c>
      <c r="I166" t="str">
        <v>Oui, si la manifestation dépasse 300 personnes et sous le contrôle d’un OPJ et que la personne palpée soit du même sexe que l’agent de sécurité</v>
      </c>
      <c r="J166" t="str">
        <v>E</v>
      </c>
    </row>
    <row r="167" spans="1:10" x14ac:dyDescent="0.25">
      <c r="A167" s="18" t="s">
        <v>1206</v>
      </c>
      <c r="B167" s="17">
        <f t="shared" si="22"/>
        <v>2</v>
      </c>
      <c r="C167" s="17" t="str">
        <f t="shared" si="23"/>
        <v>[UV9] Je suis agent dans un établissement : sous quelles conditions ai-je le droit d’inspecter des sacs ?|Je peux faire une inspection visuelle même si ce n’est pas dans les consignes|Aucune des autres réponses|Si c’est prévu dans les consignes, je peux fouiller les sacs sans avoir besoin du consentement du propriétaire|J’ai le droit de faire une inspection visuelle des bagages et, avec le consentement de leur propriétaire, à leur fouille|Je peux vérifier visuellement et fouiller tous les sacs|D</v>
      </c>
      <c r="D167" t="str" cm="1">
        <f t="array" ref="D167:J167">_xlfn.TEXTSPLIT(C167,"|")</f>
        <v>[UV9] Je suis agent dans un établissement : sous quelles conditions ai-je le droit d’inspecter des sacs ?</v>
      </c>
      <c r="E167" t="str">
        <v>Je peux faire une inspection visuelle même si ce n’est pas dans les consignes</v>
      </c>
      <c r="F167" t="str">
        <v>Aucune des autres réponses</v>
      </c>
      <c r="G167" t="str">
        <v>Si c’est prévu dans les consignes, je peux fouiller les sacs sans avoir besoin du consentement du propriétaire</v>
      </c>
      <c r="H167" t="str">
        <v>J’ai le droit de faire une inspection visuelle des bagages et, avec le consentement de leur propriétaire, à leur fouille</v>
      </c>
      <c r="I167" t="str">
        <v>Je peux vérifier visuellement et fouiller tous les sacs</v>
      </c>
      <c r="J167" t="str">
        <v>D</v>
      </c>
    </row>
    <row r="168" spans="1:10" x14ac:dyDescent="0.25">
      <c r="A168" s="18" t="s">
        <v>1207</v>
      </c>
      <c r="B168" s="17">
        <f t="shared" si="22"/>
        <v>2</v>
      </c>
      <c r="C168" s="17" t="str">
        <f t="shared" si="23"/>
        <v>[UV11] En cas de détection incendie, sur quelle unité le voyant est-il lumineux ?|D.A.S.|C.M.S.I.|S.M.S.I.|S.D.I.|Aucune des réponses précédentes|D</v>
      </c>
      <c r="D168" t="str" cm="1">
        <f t="array" ref="D168:J168">_xlfn.TEXTSPLIT(C168,"|")</f>
        <v>[UV11] En cas de détection incendie, sur quelle unité le voyant est-il lumineux ?</v>
      </c>
      <c r="E168" t="str">
        <v>D.A.S.</v>
      </c>
      <c r="F168" t="str">
        <v>C.M.S.I.</v>
      </c>
      <c r="G168" t="str">
        <v>S.M.S.I.</v>
      </c>
      <c r="H168" t="str">
        <v>S.D.I.</v>
      </c>
      <c r="I168" t="str">
        <v>Aucune des réponses précédentes</v>
      </c>
      <c r="J168" t="str">
        <v>D</v>
      </c>
    </row>
    <row r="169" spans="1:10" x14ac:dyDescent="0.25">
      <c r="A169" s="18" t="s">
        <v>1208</v>
      </c>
      <c r="B169" s="17">
        <f t="shared" si="22"/>
        <v>3</v>
      </c>
      <c r="C169" s="17" t="str">
        <f t="shared" si="23"/>
        <v>[UV7] Que dois-je regarder pour détecter un potentiel terroriste ?|Son comportement|La pratique de sa religion|Aucune des autres réponses|Ses antécédents judiciaires|Son apparence physique|A</v>
      </c>
      <c r="D169" t="str" cm="1">
        <f t="array" ref="D169:J169">_xlfn.TEXTSPLIT(C169,"|")</f>
        <v>[UV7] Que dois-je regarder pour détecter un potentiel terroriste ?</v>
      </c>
      <c r="E169" t="str">
        <v>Son comportement</v>
      </c>
      <c r="F169" t="str">
        <v>La pratique de sa religion</v>
      </c>
      <c r="G169" t="str">
        <v>Aucune des autres réponses</v>
      </c>
      <c r="H169" t="str">
        <v>Ses antécédents judiciaires</v>
      </c>
      <c r="I169" t="str">
        <v>Son apparence physique</v>
      </c>
      <c r="J169" t="str">
        <v>A</v>
      </c>
    </row>
    <row r="170" spans="1:10" x14ac:dyDescent="0.25">
      <c r="A170" s="18" t="s">
        <v>1209</v>
      </c>
      <c r="B170" s="17">
        <f t="shared" si="22"/>
        <v>3</v>
      </c>
      <c r="C170" s="17" t="str">
        <f t="shared" si="23"/>
        <v>[UV7] Qu’est-ce que la zone d’exclusion dans un périmètre de sécurité immédiat ?|La zone de prise en charge par les secours|La zone de danger et d’intervention|La zone de commandement des forces de l’ordre|Aucune des autres réponses|La zone d’accueil des force de l’ordre et des secours|B</v>
      </c>
      <c r="D170" t="str" cm="1">
        <f t="array" ref="D170:J170">_xlfn.TEXTSPLIT(C170,"|")</f>
        <v>[UV7] Qu’est-ce que la zone d’exclusion dans un périmètre de sécurité immédiat ?</v>
      </c>
      <c r="E170" t="str">
        <v>La zone de prise en charge par les secours</v>
      </c>
      <c r="F170" t="str">
        <v>La zone de danger et d’intervention</v>
      </c>
      <c r="G170" t="str">
        <v>La zone de commandement des forces de l’ordre</v>
      </c>
      <c r="H170" t="str">
        <v>Aucune des autres réponses</v>
      </c>
      <c r="I170" t="str">
        <v>La zone d’accueil des force de l’ordre et des secours</v>
      </c>
      <c r="J170" t="str">
        <v>B</v>
      </c>
    </row>
    <row r="171" spans="1:10" x14ac:dyDescent="0.25">
      <c r="A171" s="18" t="s">
        <v>1210</v>
      </c>
      <c r="B171" s="17">
        <f t="shared" si="22"/>
        <v>3</v>
      </c>
      <c r="C171" s="17" t="str">
        <f t="shared" si="23"/>
        <v>[UV2] Un revolver chambré pour le calibre 38 spécial est une arme de catégorie :|C|D|A|Aucune des autres réponses|B|B</v>
      </c>
      <c r="D171" t="str" cm="1">
        <f t="array" ref="D171:J171">_xlfn.TEXTSPLIT(C171,"|")</f>
        <v>[UV2] Un revolver chambré pour le calibre 38 spécial est une arme de catégorie :</v>
      </c>
      <c r="E171" t="str">
        <v>C</v>
      </c>
      <c r="F171" t="str">
        <v>D</v>
      </c>
      <c r="G171" t="str">
        <v>A</v>
      </c>
      <c r="H171" t="str">
        <v>Aucune des autres réponses</v>
      </c>
      <c r="I171" t="str">
        <v>B</v>
      </c>
      <c r="J171" t="str">
        <v>B</v>
      </c>
    </row>
    <row r="172" spans="1:10" x14ac:dyDescent="0.25">
      <c r="A172" s="18" t="s">
        <v>1211</v>
      </c>
      <c r="B172" s="17">
        <f t="shared" si="22"/>
        <v>3</v>
      </c>
      <c r="C172" s="17" t="str">
        <f t="shared" si="23"/>
        <v>[UV2] Le vol avec arme est qualifié de :|Crime terroriste|Aucune des autres réponses|Délit qualifié|Délit aggravé|Crime|E</v>
      </c>
      <c r="D172" t="str" cm="1">
        <f t="array" ref="D172:J172">_xlfn.TEXTSPLIT(C172,"|")</f>
        <v>[UV2] Le vol avec arme est qualifié de :</v>
      </c>
      <c r="E172" t="str">
        <v>Crime terroriste</v>
      </c>
      <c r="F172" t="str">
        <v>Aucune des autres réponses</v>
      </c>
      <c r="G172" t="str">
        <v>Délit qualifié</v>
      </c>
      <c r="H172" t="str">
        <v>Délit aggravé</v>
      </c>
      <c r="I172" t="str">
        <v>Crime</v>
      </c>
      <c r="J172" t="str">
        <v>E</v>
      </c>
    </row>
    <row r="173" spans="1:10" x14ac:dyDescent="0.25">
      <c r="A173" s="18" t="s">
        <v>1212</v>
      </c>
      <c r="B173" s="17">
        <f t="shared" si="22"/>
        <v>3</v>
      </c>
      <c r="C173" s="17" t="str">
        <f t="shared" si="23"/>
        <v>[UV12] Lorsque des véhicules sont susceptibles de pénétrer au sein de périmètre de protection (L266-1 du CSI), la loi peut également en subordonner l’accès à l’inspection visuelle du contenu du véhicule :|Sans le consentement de son conducteur, par un agent de prévention et de sécurité|Sans le consentement de son conducteur, par un agent de prévention et de sécurité mais sous le contrôle d’un OPJ|Avec le consentement de son conducteur, par un agent de prévention et de sécurité|Avec le consentement de son conducteur, par un agent de prévention et de sécurité placé sous l’autorité d’un OPJ|Aucune des autres réponses|E</v>
      </c>
      <c r="D173" t="str" cm="1">
        <f t="array" ref="D173:J173">_xlfn.TEXTSPLIT(C173,"|")</f>
        <v>[UV12] Lorsque des véhicules sont susceptibles de pénétrer au sein de périmètre de protection (L266-1 du CSI), la loi peut également en subordonner l’accès à l’inspection visuelle du contenu du véhicule :</v>
      </c>
      <c r="E173" t="str">
        <v>Sans le consentement de son conducteur, par un agent de prévention et de sécurité</v>
      </c>
      <c r="F173" t="str">
        <v>Sans le consentement de son conducteur, par un agent de prévention et de sécurité mais sous le contrôle d’un OPJ</v>
      </c>
      <c r="G173" t="str">
        <v>Avec le consentement de son conducteur, par un agent de prévention et de sécurité</v>
      </c>
      <c r="H173" t="str">
        <v>Avec le consentement de son conducteur, par un agent de prévention et de sécurité placé sous l’autorité d’un OPJ</v>
      </c>
      <c r="I173" t="str">
        <v>Aucune des autres réponses</v>
      </c>
      <c r="J173" t="str">
        <v>E</v>
      </c>
    </row>
    <row r="174" spans="1:10" x14ac:dyDescent="0.25">
      <c r="A174" s="18" t="s">
        <v>1213</v>
      </c>
      <c r="B174" s="17">
        <f t="shared" si="22"/>
        <v>3</v>
      </c>
      <c r="C174" s="17" t="str">
        <f t="shared" si="23"/>
        <v>[UV12] Le fait d’accéder frauduleusement à des données informatiques issues d’images de vidéosurveillance constitue l’infraction de :|Atteinte au système de traitement automatisé de données|Entrave à la libre circulation des données|Dégradation ou détérioration d’un système de traitement de données informatiques |Aucune des autres réponses|Vol de données informatiques|A</v>
      </c>
      <c r="D174" t="str" cm="1">
        <f t="array" ref="D174:J174">_xlfn.TEXTSPLIT(C174,"|")</f>
        <v>[UV12] Le fait d’accéder frauduleusement à des données informatiques issues d’images de vidéosurveillance constitue l’infraction de :</v>
      </c>
      <c r="E174" t="str">
        <v>Atteinte au système de traitement automatisé de données</v>
      </c>
      <c r="F174" t="str">
        <v>Entrave à la libre circulation des données</v>
      </c>
      <c r="G174" t="str">
        <v xml:space="preserve">Dégradation ou détérioration d’un système de traitement de données informatiques </v>
      </c>
      <c r="H174" t="str">
        <v>Aucune des autres réponses</v>
      </c>
      <c r="I174" t="str">
        <v>Vol de données informatiques</v>
      </c>
      <c r="J174" t="str">
        <v>A</v>
      </c>
    </row>
    <row r="175" spans="1:10" x14ac:dyDescent="0.25">
      <c r="A175" s="18" t="s">
        <v>1214</v>
      </c>
      <c r="B175" s="17">
        <f t="shared" si="22"/>
        <v>3</v>
      </c>
      <c r="C175" s="17" t="str">
        <f t="shared" si="23"/>
        <v>[UV12] Que signifie l’acronyme P.I.F. dans le cadre d’un système de sécurité lors d’un événement ?|Point ou Poste d’Inspection Filtrage|Poste Itinérant de Filtrage|Passage Interdit à la Foule|Aucune des autres réponses|Permis d’Inspection et de Fouille|A</v>
      </c>
      <c r="D175" t="str" cm="1">
        <f t="array" ref="D175:J175">_xlfn.TEXTSPLIT(C175,"|")</f>
        <v>[UV12] Que signifie l’acronyme P.I.F. dans le cadre d’un système de sécurité lors d’un événement ?</v>
      </c>
      <c r="E175" t="str">
        <v>Point ou Poste d’Inspection Filtrage</v>
      </c>
      <c r="F175" t="str">
        <v>Poste Itinérant de Filtrage</v>
      </c>
      <c r="G175" t="str">
        <v>Passage Interdit à la Foule</v>
      </c>
      <c r="H175" t="str">
        <v>Aucune des autres réponses</v>
      </c>
      <c r="I175" t="str">
        <v>Permis d’Inspection et de Fouille</v>
      </c>
      <c r="J175" t="str">
        <v>A</v>
      </c>
    </row>
    <row r="176" spans="1:10" x14ac:dyDescent="0.25">
      <c r="A176" s="18" t="s">
        <v>1215</v>
      </c>
      <c r="B176" s="17">
        <f t="shared" si="22"/>
        <v>3</v>
      </c>
      <c r="C176" s="17" t="str">
        <f t="shared" si="23"/>
        <v>[UV12] Le plan ORSEC est :|Aucune des autres réponses|Un plan de limitation des déplacements dans le cadre du plan Vigipirates “Urgence Attentat”|Un plan d’Organisation de la Réponses de la Sécurité Civile|Un plan de circulation des riverains lors des événement culturels ou festifs|Un plan d’intervention coordonné des forces de l’ordre publiques et privées|C</v>
      </c>
      <c r="D176" t="str" cm="1">
        <f t="array" ref="D176:J176">_xlfn.TEXTSPLIT(C176,"|")</f>
        <v>[UV12] Le plan ORSEC est :</v>
      </c>
      <c r="E176" t="str">
        <v>Aucune des autres réponses</v>
      </c>
      <c r="F176" t="str">
        <v>Un plan de limitation des déplacements dans le cadre du plan Vigipirates “Urgence Attentat”</v>
      </c>
      <c r="G176" t="str">
        <v>Un plan d’Organisation de la Réponses de la Sécurité Civile</v>
      </c>
      <c r="H176" t="str">
        <v>Un plan de circulation des riverains lors des événement culturels ou festifs</v>
      </c>
      <c r="I176" t="str">
        <v>Un plan d’intervention coordonné des forces de l’ordre publiques et privées</v>
      </c>
      <c r="J176" t="str">
        <v>C</v>
      </c>
    </row>
    <row r="177" spans="1:10" x14ac:dyDescent="0.25">
      <c r="A177" s="18" t="s">
        <v>1216</v>
      </c>
      <c r="B177" s="17">
        <f t="shared" si="22"/>
        <v>3</v>
      </c>
      <c r="C177" s="17" t="str">
        <f t="shared" si="23"/>
        <v>[UV8] Suite à un vol dans un magasin, le chef de poste du PCS reçoit les forces de l’ordre et il peut déposer plainte :|Non, car c’est du ressort exclusif d’un responsable du magasin habilité|Oui, seulement en l’absence du responsable du magasin|Aucune des autres réponses|Oui, car il est le chef de poste et il est donc habilité à déposer plainte|Oui, s’il a l’accord du responsable du magasin|A</v>
      </c>
      <c r="D177" t="str" cm="1">
        <f t="array" ref="D177:J177">_xlfn.TEXTSPLIT(C177,"|")</f>
        <v>[UV8] Suite à un vol dans un magasin, le chef de poste du PCS reçoit les forces de l’ordre et il peut déposer plainte :</v>
      </c>
      <c r="E177" t="str">
        <v>Non, car c’est du ressort exclusif d’un responsable du magasin habilité</v>
      </c>
      <c r="F177" t="str">
        <v>Oui, seulement en l’absence du responsable du magasin</v>
      </c>
      <c r="G177" t="str">
        <v>Aucune des autres réponses</v>
      </c>
      <c r="H177" t="str">
        <v>Oui, car il est le chef de poste et il est donc habilité à déposer plainte</v>
      </c>
      <c r="I177" t="str">
        <v>Oui, s’il a l’accord du responsable du magasin</v>
      </c>
      <c r="J177" t="str">
        <v>A</v>
      </c>
    </row>
    <row r="178" spans="1:10" x14ac:dyDescent="0.25">
      <c r="A178" s="18" t="s">
        <v>1217</v>
      </c>
      <c r="B178" s="17">
        <f t="shared" si="22"/>
        <v>3</v>
      </c>
      <c r="C178" s="17" t="str">
        <f t="shared" si="23"/>
        <v>[UV8] Une zone de protection périphérique concerne :|Un objet précis|Aucune des autres réponses|Un local|Une vitrine|Une clôture|E</v>
      </c>
      <c r="D178" t="str" cm="1">
        <f t="array" ref="D178:J178">_xlfn.TEXTSPLIT(C178,"|")</f>
        <v>[UV8] Une zone de protection périphérique concerne :</v>
      </c>
      <c r="E178" t="str">
        <v>Un objet précis</v>
      </c>
      <c r="F178" t="str">
        <v>Aucune des autres réponses</v>
      </c>
      <c r="G178" t="str">
        <v>Un local</v>
      </c>
      <c r="H178" t="str">
        <v>Une vitrine</v>
      </c>
      <c r="I178" t="str">
        <v>Une clôture</v>
      </c>
      <c r="J178" t="str">
        <v>E</v>
      </c>
    </row>
    <row r="179" spans="1:10" x14ac:dyDescent="0.25">
      <c r="A179" s="18" t="s">
        <v>1218</v>
      </c>
      <c r="B179" s="17">
        <f t="shared" si="22"/>
        <v>3</v>
      </c>
      <c r="C179" s="17" t="str">
        <f t="shared" si="23"/>
        <v>[UV8] Une zone de protection ponctuelle concerne :|Un local|Aucune des autres réponses|Une vitrine|Une clôture|Un objet précis|E</v>
      </c>
      <c r="D179" t="str" cm="1">
        <f t="array" ref="D179:J179">_xlfn.TEXTSPLIT(C179,"|")</f>
        <v>[UV8] Une zone de protection ponctuelle concerne :</v>
      </c>
      <c r="E179" t="str">
        <v>Un local</v>
      </c>
      <c r="F179" t="str">
        <v>Aucune des autres réponses</v>
      </c>
      <c r="G179" t="str">
        <v>Une vitrine</v>
      </c>
      <c r="H179" t="str">
        <v>Une clôture</v>
      </c>
      <c r="I179" t="str">
        <v>Un objet précis</v>
      </c>
      <c r="J179" t="str">
        <v>E</v>
      </c>
    </row>
    <row r="180" spans="1:10" x14ac:dyDescent="0.25">
      <c r="A180" s="18" t="s">
        <v>1219</v>
      </c>
      <c r="B180" s="17">
        <f t="shared" si="22"/>
        <v>3</v>
      </c>
      <c r="C180" s="17" t="str">
        <f t="shared" si="23"/>
        <v>[UV8] Les convoyeurs de fonds peuvent-ils être armés lorsqu’ils effectuent en véhicule banalisé un transport de fonds, bijoux ou métaux précieux ?|Oui, avec l’autorisation du Préfet|Non, ils ne peuvent pas être armés|Oui, si la valeur des biens est supérieure à 1,3 millions d’euros|Aucune des autres réponses|Oui sur ordre de la société|B</v>
      </c>
      <c r="D180" t="str" cm="1">
        <f t="array" ref="D180:J180">_xlfn.TEXTSPLIT(C180,"|")</f>
        <v>[UV8] Les convoyeurs de fonds peuvent-ils être armés lorsqu’ils effectuent en véhicule banalisé un transport de fonds, bijoux ou métaux précieux ?</v>
      </c>
      <c r="E180" t="str">
        <v>Oui, avec l’autorisation du Préfet</v>
      </c>
      <c r="F180" t="str">
        <v>Non, ils ne peuvent pas être armés</v>
      </c>
      <c r="G180" t="str">
        <v>Oui, si la valeur des biens est supérieure à 1,3 millions d’euros</v>
      </c>
      <c r="H180" t="str">
        <v>Aucune des autres réponses</v>
      </c>
      <c r="I180" t="str">
        <v>Oui sur ordre de la société</v>
      </c>
      <c r="J180" t="str">
        <v>B</v>
      </c>
    </row>
    <row r="181" spans="1:10" x14ac:dyDescent="0.25">
      <c r="A181" s="18" t="s">
        <v>1220</v>
      </c>
      <c r="B181" s="17">
        <f t="shared" si="22"/>
        <v>3</v>
      </c>
      <c r="C181" s="17" t="str">
        <f t="shared" si="23"/>
        <v>[UV7] Que signifie NRBC-E ?|Nationaliste-Radiologique-Bactériologique-Cyberterrorisme et Explosive|Nucléaire-Radiologique-Biologique-Chimique et Explosive|Nucléaire-Radiotechnologique-Bactériologique-Catastrophique et Explosive|Nationaliste-Régionaliste-Bracage-Contrôle et Enlèvement|Aucune des autres réponses|B</v>
      </c>
      <c r="D181" t="str" cm="1">
        <f t="array" ref="D181:J181">_xlfn.TEXTSPLIT(C181,"|")</f>
        <v>[UV7] Que signifie NRBC-E ?</v>
      </c>
      <c r="E181" t="str">
        <v>Nationaliste-Radiologique-Bactériologique-Cyberterrorisme et Explosive</v>
      </c>
      <c r="F181" t="str">
        <v>Nucléaire-Radiologique-Biologique-Chimique et Explosive</v>
      </c>
      <c r="G181" t="str">
        <v>Nucléaire-Radiotechnologique-Bactériologique-Catastrophique et Explosive</v>
      </c>
      <c r="H181" t="str">
        <v>Nationaliste-Régionaliste-Bracage-Contrôle et Enlèvement</v>
      </c>
      <c r="I181" t="str">
        <v>Aucune des autres réponses</v>
      </c>
      <c r="J181" t="str">
        <v>B</v>
      </c>
    </row>
    <row r="182" spans="1:10" x14ac:dyDescent="0.25">
      <c r="A182" s="18" t="s">
        <v>1221</v>
      </c>
      <c r="B182" s="17">
        <f t="shared" si="22"/>
        <v>3</v>
      </c>
      <c r="C182" s="17" t="str">
        <f t="shared" si="23"/>
        <v>[UV7] En cas de plan Vigipirate, l’accès à n’importe quel établissement peut être soumis à une palpation de sécurité : qui peut en décider ?|Le Préfet par un arrêté spécifique|L’agent de sécurité si les consignes spéciales le prévoyants|Le chef d’établissement dans son règlement intérieur|Le CNAPS par une circulaire ministérielle|Aucune des autres réponses|A</v>
      </c>
      <c r="D182" t="str" cm="1">
        <f t="array" ref="D182:J182">_xlfn.TEXTSPLIT(C182,"|")</f>
        <v>[UV7] En cas de plan Vigipirate, l’accès à n’importe quel établissement peut être soumis à une palpation de sécurité : qui peut en décider ?</v>
      </c>
      <c r="E182" t="str">
        <v>Le Préfet par un arrêté spécifique</v>
      </c>
      <c r="F182" t="str">
        <v>L’agent de sécurité si les consignes spéciales le prévoyants</v>
      </c>
      <c r="G182" t="str">
        <v>Le chef d’établissement dans son règlement intérieur</v>
      </c>
      <c r="H182" t="str">
        <v>Le CNAPS par une circulaire ministérielle</v>
      </c>
      <c r="I182" t="str">
        <v>Aucune des autres réponses</v>
      </c>
      <c r="J182" t="str">
        <v>A</v>
      </c>
    </row>
    <row r="183" spans="1:10" x14ac:dyDescent="0.25">
      <c r="A183" s="18" t="s">
        <v>1222</v>
      </c>
      <c r="B183" s="17">
        <f t="shared" si="22"/>
        <v>3</v>
      </c>
      <c r="C183" s="17" t="str">
        <f t="shared" si="23"/>
        <v>[UV7] Qu’est-ce que l’état d’urgence ?|Un régime exceptionnel qui permet à l’Etat français de gérer une crise|Un régime qui donne des pouvoirs supplémentaires aux agents de prévention et de sécurité|Un régime continu servant à instaurer un climat de sécurité au peuple|Un régime totalitaire qui octroie les pleins pouvoirs au Président de la République|Aucune des autres réponses|A</v>
      </c>
      <c r="D183" t="str" cm="1">
        <f t="array" ref="D183:J183">_xlfn.TEXTSPLIT(C183,"|")</f>
        <v>[UV7] Qu’est-ce que l’état d’urgence ?</v>
      </c>
      <c r="E183" t="str">
        <v>Un régime exceptionnel qui permet à l’Etat français de gérer une crise</v>
      </c>
      <c r="F183" t="str">
        <v>Un régime qui donne des pouvoirs supplémentaires aux agents de prévention et de sécurité</v>
      </c>
      <c r="G183" t="str">
        <v>Un régime continu servant à instaurer un climat de sécurité au peuple</v>
      </c>
      <c r="H183" t="str">
        <v>Un régime totalitaire qui octroie les pleins pouvoirs au Président de la République</v>
      </c>
      <c r="I183" t="str">
        <v>Aucune des autres réponses</v>
      </c>
      <c r="J183" t="str">
        <v>A</v>
      </c>
    </row>
    <row r="184" spans="1:10" x14ac:dyDescent="0.25">
      <c r="A184" s="18" t="s">
        <v>1223</v>
      </c>
      <c r="B184" s="17">
        <f t="shared" si="22"/>
        <v>3</v>
      </c>
      <c r="C184" s="17" t="str">
        <f t="shared" si="23"/>
        <v>[UV7] Suite à une blessure par balle sur le torse d’une victime, comment puis-je la secourir sans provoquer un pneumothorax ?|Aucune des autres réponses|En posant dès que possible un garrot|En réalisant un pansement 3 côtés|En bouchant le trou formé par l’impact avec ma main|En mettant en place la réanimation cardio-pulmonaire|C</v>
      </c>
      <c r="D184" t="str" cm="1">
        <f t="array" ref="D184:J184">_xlfn.TEXTSPLIT(C184,"|")</f>
        <v>[UV7] Suite à une blessure par balle sur le torse d’une victime, comment puis-je la secourir sans provoquer un pneumothorax ?</v>
      </c>
      <c r="E184" t="str">
        <v>Aucune des autres réponses</v>
      </c>
      <c r="F184" t="str">
        <v>En posant dès que possible un garrot</v>
      </c>
      <c r="G184" t="str">
        <v>En réalisant un pansement 3 côtés</v>
      </c>
      <c r="H184" t="str">
        <v>En bouchant le trou formé par l’impact avec ma main</v>
      </c>
      <c r="I184" t="str">
        <v>En mettant en place la réanimation cardio-pulmonaire</v>
      </c>
      <c r="J184" t="str">
        <v>C</v>
      </c>
    </row>
    <row r="185" spans="1:10" x14ac:dyDescent="0.25">
      <c r="A185" s="18" t="s">
        <v>1224</v>
      </c>
      <c r="B185" s="17">
        <f t="shared" si="22"/>
        <v>3</v>
      </c>
      <c r="C185" s="17" t="str">
        <f t="shared" si="23"/>
        <v>[UV7] Quelles sont les grandes priorités de réaction que je dois adopter face à une attaque terroriste ?|Courir, m'enfermer, appeler, attaquer si nécessaire|M’échapper, me cacher, secourir, combattre systématiquement|Alerter, éteindre, méloigner, boxer|Aucune des autres réponses|A</v>
      </c>
      <c r="D185" t="str" cm="1">
        <f t="array" ref="D185:I185">_xlfn.TEXTSPLIT(C185,"|")</f>
        <v>[UV7] Quelles sont les grandes priorités de réaction que je dois adopter face à une attaque terroriste ?</v>
      </c>
      <c r="E185" t="str">
        <v>Courir, m'enfermer, appeler, attaquer si nécessaire</v>
      </c>
      <c r="F185" t="str">
        <v>M’échapper, me cacher, secourir, combattre systématiquement</v>
      </c>
      <c r="G185" t="str">
        <v>Alerter, éteindre, méloigner, boxer</v>
      </c>
      <c r="H185" t="str">
        <v>Aucune des autres réponses</v>
      </c>
      <c r="I185" t="str">
        <v>A</v>
      </c>
    </row>
    <row r="186" spans="1:10" x14ac:dyDescent="0.25">
      <c r="A186" s="18" t="s">
        <v>1225</v>
      </c>
      <c r="B186" s="17">
        <f t="shared" si="22"/>
        <v>3</v>
      </c>
      <c r="C186" s="17" t="str">
        <f t="shared" si="23"/>
        <v>[UV7] Qu’est-ce que le terrorisme d’Etat ?|Aucune des autres réponses|Lorsqu’un peuple terrorise son gouvernement|Lorsqu’un Etat terrorise son peuple|Lorsqu’un Etat combat de le terrorisme à l’intérieur de ses frontières|Lorsqu’une organisation terroriste veut prendre le pouvoir d’un Etat|C</v>
      </c>
      <c r="D186" t="str" cm="1">
        <f t="array" ref="D186:J186">_xlfn.TEXTSPLIT(C186,"|")</f>
        <v>[UV7] Qu’est-ce que le terrorisme d’Etat ?</v>
      </c>
      <c r="E186" t="str">
        <v>Aucune des autres réponses</v>
      </c>
      <c r="F186" t="str">
        <v>Lorsqu’un peuple terrorise son gouvernement</v>
      </c>
      <c r="G186" t="str">
        <v>Lorsqu’un Etat terrorise son peuple</v>
      </c>
      <c r="H186" t="str">
        <v>Lorsqu’un Etat combat de le terrorisme à l’intérieur de ses frontières</v>
      </c>
      <c r="I186" t="str">
        <v>Lorsqu’une organisation terroriste veut prendre le pouvoir d’un Etat</v>
      </c>
      <c r="J186" t="str">
        <v>C</v>
      </c>
    </row>
    <row r="187" spans="1:10" x14ac:dyDescent="0.25">
      <c r="A187" s="18" t="s">
        <v>1226</v>
      </c>
      <c r="B187" s="17">
        <f t="shared" si="22"/>
        <v>3</v>
      </c>
      <c r="C187" s="17" t="str">
        <f t="shared" si="23"/>
        <v>[UV2] Un agent de sécurité exerçant ses fonctions dans un parc d’attraction peut-il appréhender un individu qui y entre avec une matraque et tente d’agresser un salarié du parc ?|Il peut juste l’aborder mais il ne peut pas l’appréhender en vertu de l’art. 73 du CPP|Aucune des autres réponses|Oui, car il sera dans le cadre de l’état de nécessité prévu dans l’art. 121-2 du Code Pénal|Non, car il n’y a pas d’infraction prévue pour ce type de fait|Le port d’une matraque constituant un délit, il peut appréhender l’individu au titre de l’art. 73 du CPP|E</v>
      </c>
      <c r="D187" t="str" cm="1">
        <f t="array" ref="D187:J187">_xlfn.TEXTSPLIT(C187,"|")</f>
        <v>[UV2] Un agent de sécurité exerçant ses fonctions dans un parc d’attraction peut-il appréhender un individu qui y entre avec une matraque et tente d’agresser un salarié du parc ?</v>
      </c>
      <c r="E187" t="str">
        <v>Il peut juste l’aborder mais il ne peut pas l’appréhender en vertu de l’art. 73 du CPP</v>
      </c>
      <c r="F187" t="str">
        <v>Aucune des autres réponses</v>
      </c>
      <c r="G187" t="str">
        <v>Oui, car il sera dans le cadre de l’état de nécessité prévu dans l’art. 121-2 du Code Pénal</v>
      </c>
      <c r="H187" t="str">
        <v>Non, car il n’y a pas d’infraction prévue pour ce type de fait</v>
      </c>
      <c r="I187" t="str">
        <v>Le port d’une matraque constituant un délit, il peut appréhender l’individu au titre de l’art. 73 du CPP</v>
      </c>
      <c r="J187" t="str">
        <v>E</v>
      </c>
    </row>
    <row r="188" spans="1:10" x14ac:dyDescent="0.25">
      <c r="A188" s="18" t="s">
        <v>1227</v>
      </c>
      <c r="B188" s="17">
        <f t="shared" si="22"/>
        <v>3</v>
      </c>
      <c r="C188" s="17" t="str">
        <f t="shared" si="23"/>
        <v>[UV2] Un agent de sécurité privé peut être sanctionné par le CNAPS :|À une pénalité financière mais sans limite prise en charge par l’entreprise|À aucune pénalité financière|À une pénalité financière allant jusqu’à 10 000 euros|À une pénalité financière allant jusqu’à 7 500 euros|À une pénalité financière inférieure à 1 500 euros|D</v>
      </c>
      <c r="D188" t="str" cm="1">
        <f t="array" ref="D188:J188">_xlfn.TEXTSPLIT(C188,"|")</f>
        <v>[UV2] Un agent de sécurité privé peut être sanctionné par le CNAPS :</v>
      </c>
      <c r="E188" t="str">
        <v>À une pénalité financière mais sans limite prise en charge par l’entreprise</v>
      </c>
      <c r="F188" t="str">
        <v>À aucune pénalité financière</v>
      </c>
      <c r="G188" t="str">
        <v>À une pénalité financière allant jusqu’à 10 000 euros</v>
      </c>
      <c r="H188" t="str">
        <v>À une pénalité financière allant jusqu’à 7 500 euros</v>
      </c>
      <c r="I188" t="str">
        <v>À une pénalité financière inférieure à 1 500 euros</v>
      </c>
      <c r="J188" t="str">
        <v>D</v>
      </c>
    </row>
    <row r="189" spans="1:10" x14ac:dyDescent="0.25">
      <c r="A189" s="18" t="s">
        <v>1228</v>
      </c>
      <c r="B189" s="17">
        <f t="shared" si="22"/>
        <v>3</v>
      </c>
      <c r="C189" s="17" t="str">
        <f t="shared" si="23"/>
        <v>[UV12] À quoi peut servir un PPI/POI/PER ?|Aucune des autres réponses|À coordonner les moyens internes des installations classées|À prévoir la mobilisation des services de secours publics|À protéger les installations recevant du public|À planifier les opérations de maintien de l’ordre|C</v>
      </c>
      <c r="D189" t="str" cm="1">
        <f t="array" ref="D189:J189">_xlfn.TEXTSPLIT(C189,"|")</f>
        <v>[UV12] À quoi peut servir un PPI/POI/PER ?</v>
      </c>
      <c r="E189" t="str">
        <v>Aucune des autres réponses</v>
      </c>
      <c r="F189" t="str">
        <v>À coordonner les moyens internes des installations classées</v>
      </c>
      <c r="G189" t="str">
        <v>À prévoir la mobilisation des services de secours publics</v>
      </c>
      <c r="H189" t="str">
        <v>À protéger les installations recevant du public</v>
      </c>
      <c r="I189" t="str">
        <v>À planifier les opérations de maintien de l’ordre</v>
      </c>
      <c r="J189" t="str">
        <v>C</v>
      </c>
    </row>
    <row r="190" spans="1:10" x14ac:dyDescent="0.25">
      <c r="A190" s="18" t="s">
        <v>1229</v>
      </c>
      <c r="B190" s="17">
        <f t="shared" si="22"/>
        <v>3</v>
      </c>
      <c r="C190" s="17" t="str">
        <f t="shared" si="23"/>
        <v>[UV12] Il est puni par le code du sport (L332-3) dans une enceinte sportive, lors du déroulement ou de la retransmission en public d’une manifestation sportive :|Le fait d’introduire ou de tenter d’introduire, par force ou par fraude, des boissons alcoolisées|Toutes les réponses sont exactes|Le fait d’avoir, en état d’ivresse, pénétré ou tenté de pénétrer par force ou par fraude|D’un an d’emprisonnement ou d’amende|Le fait d’accéder en état d’ivresse|A</v>
      </c>
      <c r="D190" t="str" cm="1">
        <f t="array" ref="D190:J190">_xlfn.TEXTSPLIT(C190,"|")</f>
        <v>[UV12] Il est puni par le code du sport (L332-3) dans une enceinte sportive, lors du déroulement ou de la retransmission en public d’une manifestation sportive :</v>
      </c>
      <c r="E190" t="str">
        <v>Le fait d’introduire ou de tenter d’introduire, par force ou par fraude, des boissons alcoolisées</v>
      </c>
      <c r="F190" t="str">
        <v>Toutes les réponses sont exactes</v>
      </c>
      <c r="G190" t="str">
        <v>Le fait d’avoir, en état d’ivresse, pénétré ou tenté de pénétrer par force ou par fraude</v>
      </c>
      <c r="H190" t="str">
        <v>D’un an d’emprisonnement ou d’amende</v>
      </c>
      <c r="I190" t="str">
        <v>Le fait d’accéder en état d’ivresse</v>
      </c>
      <c r="J190" t="str">
        <v>A</v>
      </c>
    </row>
    <row r="191" spans="1:10" x14ac:dyDescent="0.25">
      <c r="A191" s="18" t="s">
        <v>1230</v>
      </c>
      <c r="B191" s="17">
        <f t="shared" si="22"/>
        <v>3</v>
      </c>
      <c r="C191" s="17" t="str">
        <f t="shared" si="23"/>
        <v>[UV12] Les organisateurs de manifestations sportives, récréatives ou culturelles sont tenus (R211-22 du CSI) :|D’en faire la déclaration uniquement si elles sont sur la liste des événements exposés|D’en faire la déclaration au Préfet de région au moins un an avant l’événement|D’en faire la déclaration aux maires ou aux Préfets de police, si la manifestation peut atteindre plus de 1500 personnes|Aucune des autres réponses|D’en faire la déclaration aux maires si la manifestation peut atteindre plus de 300 personnes et aux Préfets si elle dépasse plus de 1500 personnes|C</v>
      </c>
      <c r="D191" t="str" cm="1">
        <f t="array" ref="D191:J191">_xlfn.TEXTSPLIT(C191,"|")</f>
        <v>[UV12] Les organisateurs de manifestations sportives, récréatives ou culturelles sont tenus (R211-22 du CSI) :</v>
      </c>
      <c r="E191" t="str">
        <v>D’en faire la déclaration uniquement si elles sont sur la liste des événements exposés</v>
      </c>
      <c r="F191" t="str">
        <v>D’en faire la déclaration au Préfet de région au moins un an avant l’événement</v>
      </c>
      <c r="G191" t="str">
        <v>D’en faire la déclaration aux maires ou aux Préfets de police, si la manifestation peut atteindre plus de 1500 personnes</v>
      </c>
      <c r="H191" t="str">
        <v>Aucune des autres réponses</v>
      </c>
      <c r="I191" t="str">
        <v>D’en faire la déclaration aux maires si la manifestation peut atteindre plus de 300 personnes et aux Préfets si elle dépasse plus de 1500 personnes</v>
      </c>
      <c r="J191" t="str">
        <v>C</v>
      </c>
    </row>
    <row r="192" spans="1:10" x14ac:dyDescent="0.25">
      <c r="A192" s="18" t="s">
        <v>1231</v>
      </c>
      <c r="B192" s="17">
        <f t="shared" si="22"/>
        <v>3</v>
      </c>
      <c r="C192" s="17" t="str">
        <f t="shared" si="23"/>
        <v>[UV9] Je suis agent dans un magasin : sous quelles conditions ai-je le droit d’inspecter des sacs ?|Je peux faire une inspection visuelle, dès lors que j’ai un doute|Je peux vérifier visuellement et fouiller les sacs sans avoir besoin du consentement du propriétaire|Aucune des autres réponses|J’ai le droit de faire une inspection visuelle des bagages et, avec le consentement de leur propriétaire, à leur fouille|Si c’est prévu dans les consignes, je peux vérifier visuellement et fouiller les sacs sans avoir besoin du consentement du propriétaires|D</v>
      </c>
      <c r="D192" t="str" cm="1">
        <f t="array" ref="D192:J192">_xlfn.TEXTSPLIT(C192,"|")</f>
        <v>[UV9] Je suis agent dans un magasin : sous quelles conditions ai-je le droit d’inspecter des sacs ?</v>
      </c>
      <c r="E192" t="str">
        <v>Je peux faire une inspection visuelle, dès lors que j’ai un doute</v>
      </c>
      <c r="F192" t="str">
        <v>Je peux vérifier visuellement et fouiller les sacs sans avoir besoin du consentement du propriétaire</v>
      </c>
      <c r="G192" t="str">
        <v>Aucune des autres réponses</v>
      </c>
      <c r="H192" t="str">
        <v>J’ai le droit de faire une inspection visuelle des bagages et, avec le consentement de leur propriétaire, à leur fouille</v>
      </c>
      <c r="I192" t="str">
        <v>Si c’est prévu dans les consignes, je peux vérifier visuellement et fouiller les sacs sans avoir besoin du consentement du propriétaires</v>
      </c>
      <c r="J192" t="str">
        <v>D</v>
      </c>
    </row>
    <row r="193" spans="1:10" x14ac:dyDescent="0.25">
      <c r="A193" s="18" t="s">
        <v>1232</v>
      </c>
      <c r="B193" s="17">
        <f t="shared" si="22"/>
        <v>3</v>
      </c>
      <c r="C193" s="17" t="str">
        <f t="shared" si="23"/>
        <v>[UV8] Qu’est-ce qu’une zone de protection ?|Lieu protégé par des filets empêchant l’introduction de pigeons dans le site|Lieu protégé par des paroies possédant une isolation phonique|Aucune des autres réponses|Lieu protégé contre les intempéries|Lieu protégé par un obstacle s’opposant à pénétration d’intrus dans le site|E</v>
      </c>
      <c r="D193" t="str" cm="1">
        <f t="array" ref="D193:J193">_xlfn.TEXTSPLIT(C193,"|")</f>
        <v>[UV8] Qu’est-ce qu’une zone de protection ?</v>
      </c>
      <c r="E193" t="str">
        <v>Lieu protégé par des filets empêchant l’introduction de pigeons dans le site</v>
      </c>
      <c r="F193" t="str">
        <v>Lieu protégé par des paroies possédant une isolation phonique</v>
      </c>
      <c r="G193" t="str">
        <v>Aucune des autres réponses</v>
      </c>
      <c r="H193" t="str">
        <v>Lieu protégé contre les intempéries</v>
      </c>
      <c r="I193" t="str">
        <v>Lieu protégé par un obstacle s’opposant à pénétration d’intrus dans le site</v>
      </c>
      <c r="J193" t="str">
        <v>E</v>
      </c>
    </row>
    <row r="194" spans="1:10" x14ac:dyDescent="0.25">
      <c r="A194" s="18" t="s">
        <v>1233</v>
      </c>
      <c r="B194" s="17">
        <f t="shared" si="22"/>
        <v>3</v>
      </c>
      <c r="C194" s="17" t="str">
        <f t="shared" si="23"/>
        <v>[UV8] Un point dit vulnérable lors d’une ronde est :|Un point comportant un danger permanent|Un point qui en cas d’atteinte pourrait handicaper le bon fonctionnement de l’entreprise|Un point régulièrement mis en défaut|Aucune des autres réponses|Un point sensible convoité par les voleurs|B</v>
      </c>
      <c r="D194" t="str" cm="1">
        <f t="array" ref="D194:J194">_xlfn.TEXTSPLIT(C194,"|")</f>
        <v>[UV8] Un point dit vulnérable lors d’une ronde est :</v>
      </c>
      <c r="E194" t="str">
        <v>Un point comportant un danger permanent</v>
      </c>
      <c r="F194" t="str">
        <v>Un point qui en cas d’atteinte pourrait handicaper le bon fonctionnement de l’entreprise</v>
      </c>
      <c r="G194" t="str">
        <v>Un point régulièrement mis en défaut</v>
      </c>
      <c r="H194" t="str">
        <v>Aucune des autres réponses</v>
      </c>
      <c r="I194" t="str">
        <v>Un point sensible convoité par les voleurs</v>
      </c>
      <c r="J194" t="str">
        <v>B</v>
      </c>
    </row>
    <row r="195" spans="1:10" x14ac:dyDescent="0.25">
      <c r="A195" s="18" t="s">
        <v>1234</v>
      </c>
      <c r="B195" s="17">
        <f t="shared" si="22"/>
        <v>3</v>
      </c>
      <c r="C195" s="17" t="str">
        <f t="shared" si="23"/>
        <v>[UV8] Pendant votre ronde, vous découvrez un local en désordre avec un pied de biche au sol. Que faites-vous ?|Vous ramassez le pied de biche afin d’avoir un objet pour vous défendre|Vous prévenez immédiatement le PCS et inspecter prudemment les locaux voisins|Aucune des autres réponses|Vous ne faites rien et continuez votre rondre, c’est sûrement le bureau d’un salarié désordonné|Vous refermez la porte et prévenez le PCS|B</v>
      </c>
      <c r="D195" t="str" cm="1">
        <f t="array" ref="D195:J195">_xlfn.TEXTSPLIT(C195,"|")</f>
        <v>[UV8] Pendant votre ronde, vous découvrez un local en désordre avec un pied de biche au sol. Que faites-vous ?</v>
      </c>
      <c r="E195" t="str">
        <v>Vous ramassez le pied de biche afin d’avoir un objet pour vous défendre</v>
      </c>
      <c r="F195" t="str">
        <v>Vous prévenez immédiatement le PCS et inspecter prudemment les locaux voisins</v>
      </c>
      <c r="G195" t="str">
        <v>Aucune des autres réponses</v>
      </c>
      <c r="H195" t="str">
        <v>Vous ne faites rien et continuez votre rondre, c’est sûrement le bureau d’un salarié désordonné</v>
      </c>
      <c r="I195" t="str">
        <v>Vous refermez la porte et prévenez le PCS</v>
      </c>
      <c r="J195" t="str">
        <v>B</v>
      </c>
    </row>
    <row r="196" spans="1:10" x14ac:dyDescent="0.25">
      <c r="A196" s="18" t="s">
        <v>1235</v>
      </c>
      <c r="B196" s="17">
        <f t="shared" si="22"/>
        <v>3</v>
      </c>
      <c r="C196" s="17" t="str">
        <f t="shared" si="23"/>
        <v>[UV6] Un agent de sécurité privé masculin doit appréhender un voleur en sortie de caisse, mais il s’agit d’une femme :|Il doit appeler une collègue du même sexe|Il agit normalement, néanmoins il est conseillé d’appeler un témoin féminin|Aucune des autres réponses|Il doit demander l’autorisation de la personne|Il ne peut rien faire sur une personne de sexe opposé|B</v>
      </c>
      <c r="D196" t="str" cm="1">
        <f t="array" ref="D196:J196">_xlfn.TEXTSPLIT(C196,"|")</f>
        <v>[UV6] Un agent de sécurité privé masculin doit appréhender un voleur en sortie de caisse, mais il s’agit d’une femme :</v>
      </c>
      <c r="E196" t="str">
        <v>Il doit appeler une collègue du même sexe</v>
      </c>
      <c r="F196" t="str">
        <v>Il agit normalement, néanmoins il est conseillé d’appeler un témoin féminin</v>
      </c>
      <c r="G196" t="str">
        <v>Aucune des autres réponses</v>
      </c>
      <c r="H196" t="str">
        <v>Il doit demander l’autorisation de la personne</v>
      </c>
      <c r="I196" t="str">
        <v>Il ne peut rien faire sur une personne de sexe opposé</v>
      </c>
      <c r="J196" t="str">
        <v>B</v>
      </c>
    </row>
    <row r="197" spans="1:10" x14ac:dyDescent="0.25">
      <c r="A197" s="18" t="s">
        <v>1236</v>
      </c>
      <c r="B197" s="17">
        <f t="shared" si="22"/>
        <v>3</v>
      </c>
      <c r="C197" s="17" t="str">
        <f t="shared" si="23"/>
        <v>[UV2] Les agents de sécurité employés par un bailleur d’immeuble à usage d’habitations peuvent être armés :|D’un bâton de défense de type TONFA|D’un fusil à pompe|D’une grenade lacrymogène ayant une capacité inférieure à 100 ml|Aucune des autres réponses|D’un pistolet mitrailleur|A</v>
      </c>
      <c r="D197" t="str" cm="1">
        <f t="array" ref="D197:J197">_xlfn.TEXTSPLIT(C197,"|")</f>
        <v>[UV2] Les agents de sécurité employés par un bailleur d’immeuble à usage d’habitations peuvent être armés :</v>
      </c>
      <c r="E197" t="str">
        <v>D’un bâton de défense de type TONFA</v>
      </c>
      <c r="F197" t="str">
        <v>D’un fusil à pompe</v>
      </c>
      <c r="G197" t="str">
        <v>D’une grenade lacrymogène ayant une capacité inférieure à 100 ml</v>
      </c>
      <c r="H197" t="str">
        <v>Aucune des autres réponses</v>
      </c>
      <c r="I197" t="str">
        <v>D’un pistolet mitrailleur</v>
      </c>
      <c r="J197" t="str">
        <v>A</v>
      </c>
    </row>
    <row r="198" spans="1:10" x14ac:dyDescent="0.25">
      <c r="A198" s="18" t="s">
        <v>1237</v>
      </c>
      <c r="B198" s="17">
        <f t="shared" si="22"/>
        <v>3</v>
      </c>
      <c r="C198" s="17" t="str">
        <f t="shared" si="23"/>
        <v>[UV12] Le schéma d’installation de la vidéoprotection permet :|D’installer, de maintenir et de mettre à disposition des prestataires des images|De capter, de transmettre, de stocker, de visionner les images|Aucune des autres réponses|De garantir aux forces de l’ordre la bonne réalisation de la mission de sûreté|De compléter le système de surveillance incendie|B</v>
      </c>
      <c r="D198" t="str" cm="1">
        <f t="array" ref="D198:J198">_xlfn.TEXTSPLIT(C198,"|")</f>
        <v>[UV12] Le schéma d’installation de la vidéoprotection permet :</v>
      </c>
      <c r="E198" t="str">
        <v>D’installer, de maintenir et de mettre à disposition des prestataires des images</v>
      </c>
      <c r="F198" t="str">
        <v>De capter, de transmettre, de stocker, de visionner les images</v>
      </c>
      <c r="G198" t="str">
        <v>Aucune des autres réponses</v>
      </c>
      <c r="H198" t="str">
        <v>De garantir aux forces de l’ordre la bonne réalisation de la mission de sûreté</v>
      </c>
      <c r="I198" t="str">
        <v>De compléter le système de surveillance incendie</v>
      </c>
      <c r="J198" t="str">
        <v>B</v>
      </c>
    </row>
    <row r="199" spans="1:10" x14ac:dyDescent="0.25">
      <c r="A199" s="18" t="s">
        <v>1238</v>
      </c>
      <c r="B199" s="17">
        <f t="shared" si="22"/>
        <v>3</v>
      </c>
      <c r="C199" s="17" t="str">
        <f t="shared" si="23"/>
        <v>[UV12] À quoi correspond une crash barrière ?|Aucune des autres réponses|Un système de barrière type passage à niveau pour bloquer les accès|Des barrières de sécurité équipés de pieds empêchant le renversement|Un test en laboratoire de la résistance des barrières|L’action de lancer des barrières sur des véhicules voulant forcer l’accès|C</v>
      </c>
      <c r="D199" t="str" cm="1">
        <f t="array" ref="D199:J199">_xlfn.TEXTSPLIT(C199,"|")</f>
        <v>[UV12] À quoi correspond une crash barrière ?</v>
      </c>
      <c r="E199" t="str">
        <v>Aucune des autres réponses</v>
      </c>
      <c r="F199" t="str">
        <v>Un système de barrière type passage à niveau pour bloquer les accès</v>
      </c>
      <c r="G199" t="str">
        <v>Des barrières de sécurité équipés de pieds empêchant le renversement</v>
      </c>
      <c r="H199" t="str">
        <v>Un test en laboratoire de la résistance des barrières</v>
      </c>
      <c r="I199" t="str">
        <v>L’action de lancer des barrières sur des véhicules voulant forcer l’accès</v>
      </c>
      <c r="J199" t="str">
        <v>C</v>
      </c>
    </row>
    <row r="200" spans="1:10" x14ac:dyDescent="0.25">
      <c r="A200" s="18" t="s">
        <v>1239</v>
      </c>
      <c r="B200" s="17">
        <f t="shared" si="22"/>
        <v>3</v>
      </c>
      <c r="C200" s="17" t="str">
        <f t="shared" si="23"/>
        <v>[UV12] Un APS effectue une ronde dans la chaufferie gaz, il peut y entrer si :|Il dispose d’une radio fabriquée après le 1er juillet 2017|Il dispose d’un matériel anti-déflagrant|Il dispose d’un émetteur multi-fréquences|Il dispose d’une pastille de détection de gaz homologuée|Aucune des autres réponses|B</v>
      </c>
      <c r="D200" t="str" cm="1">
        <f t="array" ref="D200:J200">_xlfn.TEXTSPLIT(C200,"|")</f>
        <v>[UV12] Un APS effectue une ronde dans la chaufferie gaz, il peut y entrer si :</v>
      </c>
      <c r="E200" t="str">
        <v>Il dispose d’une radio fabriquée après le 1er juillet 2017</v>
      </c>
      <c r="F200" t="str">
        <v>Il dispose d’un matériel anti-déflagrant</v>
      </c>
      <c r="G200" t="str">
        <v>Il dispose d’un émetteur multi-fréquences</v>
      </c>
      <c r="H200" t="str">
        <v>Il dispose d’une pastille de détection de gaz homologuée</v>
      </c>
      <c r="I200" t="str">
        <v>Aucune des autres réponses</v>
      </c>
      <c r="J200" t="str">
        <v>B</v>
      </c>
    </row>
    <row r="201" spans="1:10" x14ac:dyDescent="0.25">
      <c r="A201" s="18" t="s">
        <v>1240</v>
      </c>
      <c r="B201" s="17">
        <f t="shared" si="22"/>
        <v>3</v>
      </c>
      <c r="C201" s="17" t="str">
        <f t="shared" si="23"/>
        <v>[UV11] Sur votre GTB/GTC vous recevez une alarme SURCHAUFF au niveau de la chaufferie. Que devez-vous faire en premier ?|Aucune des autres réponses|Arrêter le signal sonore de l’alarme|Appeler les services de secours|Couper la chaudière|Appeler le technicien compétent|B</v>
      </c>
      <c r="D201" t="str" cm="1">
        <f t="array" ref="D201:J201">_xlfn.TEXTSPLIT(C201,"|")</f>
        <v>[UV11] Sur votre GTB/GTC vous recevez une alarme SURCHAUFF au niveau de la chaufferie. Que devez-vous faire en premier ?</v>
      </c>
      <c r="E201" t="str">
        <v>Aucune des autres réponses</v>
      </c>
      <c r="F201" t="str">
        <v>Arrêter le signal sonore de l’alarme</v>
      </c>
      <c r="G201" t="str">
        <v>Appeler les services de secours</v>
      </c>
      <c r="H201" t="str">
        <v>Couper la chaudière</v>
      </c>
      <c r="I201" t="str">
        <v>Appeler le technicien compétent</v>
      </c>
      <c r="J201" t="str">
        <v>B</v>
      </c>
    </row>
    <row r="202" spans="1:10" x14ac:dyDescent="0.25">
      <c r="A202" s="18" t="s">
        <v>1241</v>
      </c>
      <c r="B202" s="17">
        <f t="shared" si="22"/>
        <v>3</v>
      </c>
      <c r="C202" s="17" t="str">
        <f t="shared" si="23"/>
        <v>[UV11] En vous rendant sur une levée de doute intrusion, votre PC vous appelle car une détection incendie vient d’avoir lieu. Que faites-vous ?|Je termine la levée de doute intrusion sans effectuer les contrôles de rigueur pour aller sur la levée de doute incendie|Je fais demi-tour et priorise la détection incendie dont la gravité peut être supérieure|Aucune des autres réponses|Je poursuis la levée de doute intrusion, étant presque arrivé|Je demande au chef de poste d’effectuer lui-même la levée de doute incendie|B</v>
      </c>
      <c r="D202" t="str" cm="1">
        <f t="array" ref="D202:J202">_xlfn.TEXTSPLIT(C202,"|")</f>
        <v>[UV11] En vous rendant sur une levée de doute intrusion, votre PC vous appelle car une détection incendie vient d’avoir lieu. Que faites-vous ?</v>
      </c>
      <c r="E202" t="str">
        <v>Je termine la levée de doute intrusion sans effectuer les contrôles de rigueur pour aller sur la levée de doute incendie</v>
      </c>
      <c r="F202" t="str">
        <v>Je fais demi-tour et priorise la détection incendie dont la gravité peut être supérieure</v>
      </c>
      <c r="G202" t="str">
        <v>Aucune des autres réponses</v>
      </c>
      <c r="H202" t="str">
        <v>Je poursuis la levée de doute intrusion, étant presque arrivé</v>
      </c>
      <c r="I202" t="str">
        <v>Je demande au chef de poste d’effectuer lui-même la levée de doute incendie</v>
      </c>
      <c r="J202" t="str">
        <v>B</v>
      </c>
    </row>
    <row r="203" spans="1:10" x14ac:dyDescent="0.25">
      <c r="A203" s="18" t="s">
        <v>1242</v>
      </c>
      <c r="B203" s="17">
        <f t="shared" si="22"/>
        <v>3</v>
      </c>
      <c r="C203" s="17" t="str">
        <f t="shared" si="23"/>
        <v>[UV11] En cas d’alarme observée sur la centrale incendie, quelle est généralement la procédure à suivre ?|Appel de l’astreinte incendie, attente des secours, intervention éventuelle sur le feu|Acquittement du signal sonore, lecture de l’information, levée de doute, plan d’action conforme aux consignes du site|Aucune des autres réponses|Levée de doute, appel des secours, retour au PCS|Intervention immédiate sur feu, appel des secours, réinitialisation central incendie|B</v>
      </c>
      <c r="D203" t="str" cm="1">
        <f t="array" ref="D203:J203">_xlfn.TEXTSPLIT(C203,"|")</f>
        <v>[UV11] En cas d’alarme observée sur la centrale incendie, quelle est généralement la procédure à suivre ?</v>
      </c>
      <c r="E203" t="str">
        <v>Appel de l’astreinte incendie, attente des secours, intervention éventuelle sur le feu</v>
      </c>
      <c r="F203" t="str">
        <v>Acquittement du signal sonore, lecture de l’information, levée de doute, plan d’action conforme aux consignes du site</v>
      </c>
      <c r="G203" t="str">
        <v>Aucune des autres réponses</v>
      </c>
      <c r="H203" t="str">
        <v>Levée de doute, appel des secours, retour au PCS</v>
      </c>
      <c r="I203" t="str">
        <v>Intervention immédiate sur feu, appel des secours, réinitialisation central incendie</v>
      </c>
      <c r="J203" t="str">
        <v>B</v>
      </c>
    </row>
    <row r="204" spans="1:10" x14ac:dyDescent="0.25">
      <c r="A204" s="18" t="s">
        <v>1243</v>
      </c>
      <c r="B204" s="17">
        <f t="shared" si="22"/>
        <v>3</v>
      </c>
      <c r="C204" s="17" t="str">
        <f t="shared" si="23"/>
        <v>[UV9] Quelles sont les méthodes pour les agents masculins pour effectuer des vérifications de sécurité sur des femmes qui sont au contrôle d’accès :|Les palpations de sécurité|La fouille à corps uniquement avec le consentement de la personne|La fouille au corps|Aucune des autres réponses|Le contrôle visuel des bagages|E</v>
      </c>
      <c r="D204" t="str" cm="1">
        <f t="array" ref="D204:J204">_xlfn.TEXTSPLIT(C204,"|")</f>
        <v>[UV9] Quelles sont les méthodes pour les agents masculins pour effectuer des vérifications de sécurité sur des femmes qui sont au contrôle d’accès :</v>
      </c>
      <c r="E204" t="str">
        <v>Les palpations de sécurité</v>
      </c>
      <c r="F204" t="str">
        <v>La fouille à corps uniquement avec le consentement de la personne</v>
      </c>
      <c r="G204" t="str">
        <v>La fouille au corps</v>
      </c>
      <c r="H204" t="str">
        <v>Aucune des autres réponses</v>
      </c>
      <c r="I204" t="str">
        <v>Le contrôle visuel des bagages</v>
      </c>
      <c r="J204" t="str">
        <v>E</v>
      </c>
    </row>
    <row r="205" spans="1:10" x14ac:dyDescent="0.25">
      <c r="A205" s="18" t="s">
        <v>1244</v>
      </c>
      <c r="B205" s="17">
        <f t="shared" si="22"/>
        <v>3</v>
      </c>
      <c r="C205" s="17" t="str">
        <f t="shared" si="23"/>
        <v>[UV9] Dans quelle situation puis-je effectuer des palpations de sécurité ?|Dans tout le magasin sur des personnes soupçonnées de vouloir fumer|À l’intérieur d’une salle de concert à la demande du chef de poste|Dans tout lieu visé par un arrêté préfectoral|À la sortie du magasin sur un individu connu pour des actes de vol|Aucune des autres réponses|C</v>
      </c>
      <c r="D205" t="str" cm="1">
        <f t="array" ref="D205:J205">_xlfn.TEXTSPLIT(C205,"|")</f>
        <v>[UV9] Dans quelle situation puis-je effectuer des palpations de sécurité ?</v>
      </c>
      <c r="E205" t="str">
        <v>Dans tout le magasin sur des personnes soupçonnées de vouloir fumer</v>
      </c>
      <c r="F205" t="str">
        <v>À l’intérieur d’une salle de concert à la demande du chef de poste</v>
      </c>
      <c r="G205" t="str">
        <v>Dans tout lieu visé par un arrêté préfectoral</v>
      </c>
      <c r="H205" t="str">
        <v>À la sortie du magasin sur un individu connu pour des actes de vol</v>
      </c>
      <c r="I205" t="str">
        <v>Aucune des autres réponses</v>
      </c>
      <c r="J205" t="str">
        <v>C</v>
      </c>
    </row>
    <row r="206" spans="1:10" x14ac:dyDescent="0.25">
      <c r="A206" s="18" t="s">
        <v>1245</v>
      </c>
      <c r="B206" s="17">
        <f t="shared" si="22"/>
        <v>3</v>
      </c>
      <c r="C206" s="17" t="str">
        <f t="shared" si="23"/>
        <v>[UV8] Certaines circonstances peuvent aggraver le vol. Par exemple quand le vol est commis :|Par plusieurs personnes|Chez une personne dépositaire de l’autorité publique|Sur une personne dans la journée|Aucune des autres réponses|Dans un local sous surveillance électronique|A</v>
      </c>
      <c r="D206" t="str" cm="1">
        <f t="array" ref="D206:J206">_xlfn.TEXTSPLIT(C206,"|")</f>
        <v>[UV8] Certaines circonstances peuvent aggraver le vol. Par exemple quand le vol est commis :</v>
      </c>
      <c r="E206" t="str">
        <v>Par plusieurs personnes</v>
      </c>
      <c r="F206" t="str">
        <v>Chez une personne dépositaire de l’autorité publique</v>
      </c>
      <c r="G206" t="str">
        <v>Sur une personne dans la journée</v>
      </c>
      <c r="H206" t="str">
        <v>Aucune des autres réponses</v>
      </c>
      <c r="I206" t="str">
        <v>Dans un local sous surveillance électronique</v>
      </c>
      <c r="J206" t="str">
        <v>A</v>
      </c>
    </row>
    <row r="207" spans="1:10" x14ac:dyDescent="0.25">
      <c r="A207" s="18" t="s">
        <v>1246</v>
      </c>
      <c r="B207" s="17">
        <f t="shared" si="22"/>
        <v>3</v>
      </c>
      <c r="C207" s="17" t="str">
        <f t="shared" si="23"/>
        <v>[UV7] Dès l’arrivée des forces de l’ordre, dans une zone d’attentat, vous devez en premier :|Leur parler de la situation|Courir vers eux|Leur indiquer l’emplacement des victimes|Suivre leurs instructions|Aucune des autres réponses|D</v>
      </c>
      <c r="D207" t="str" cm="1">
        <f t="array" ref="D207:J207">_xlfn.TEXTSPLIT(C207,"|")</f>
        <v>[UV7] Dès l’arrivée des forces de l’ordre, dans une zone d’attentat, vous devez en premier :</v>
      </c>
      <c r="E207" t="str">
        <v>Leur parler de la situation</v>
      </c>
      <c r="F207" t="str">
        <v>Courir vers eux</v>
      </c>
      <c r="G207" t="str">
        <v>Leur indiquer l’emplacement des victimes</v>
      </c>
      <c r="H207" t="str">
        <v>Suivre leurs instructions</v>
      </c>
      <c r="I207" t="str">
        <v>Aucune des autres réponses</v>
      </c>
      <c r="J207" t="str">
        <v>D</v>
      </c>
    </row>
    <row r="208" spans="1:10" x14ac:dyDescent="0.25">
      <c r="A208" s="18" t="s">
        <v>1247</v>
      </c>
      <c r="B208" s="17">
        <f t="shared" si="22"/>
        <v>3</v>
      </c>
      <c r="C208" s="17" t="str">
        <f t="shared" si="23"/>
        <v>[UV7] Parmi les types de “BLAST” suivants, lequel ou lesquels existent ?|BLAST primaire|BLAST tertiaire|BLAST quaternaire|Toutes les réponses précédentes sont exactes|BLAST secondaire|D</v>
      </c>
      <c r="D208" t="str" cm="1">
        <f t="array" ref="D208:J208">_xlfn.TEXTSPLIT(C208,"|")</f>
        <v>[UV7] Parmi les types de “BLAST” suivants, lequel ou lesquels existent ?</v>
      </c>
      <c r="E208" t="str">
        <v>BLAST primaire</v>
      </c>
      <c r="F208" t="str">
        <v>BLAST tertiaire</v>
      </c>
      <c r="G208" t="str">
        <v>BLAST quaternaire</v>
      </c>
      <c r="H208" t="str">
        <v>Toutes les réponses précédentes sont exactes</v>
      </c>
      <c r="I208" t="str">
        <v>BLAST secondaire</v>
      </c>
      <c r="J208" t="str">
        <v>D</v>
      </c>
    </row>
    <row r="209" spans="1:10" x14ac:dyDescent="0.25">
      <c r="A209" s="18" t="s">
        <v>1248</v>
      </c>
      <c r="B209" s="17">
        <f t="shared" si="22"/>
        <v>3</v>
      </c>
      <c r="C209" s="17" t="str">
        <f t="shared" si="23"/>
        <v>[UV2] Agent de sécurité, je dispose d’un véhicule d’entreprise équipé d’un gyrophare orange :|Aucune des autres réponses|C’est absolument interdit|C’est autorisé uniquement à l’intérieur des sites surveillés, si les consignes le prévoient|Seuls les gyrophares bleus sont autorisés pour les agents de sécurité|C’est interdit, sauf en situation d’urgence attentat|C</v>
      </c>
      <c r="D209" t="str" cm="1">
        <f t="array" ref="D209:J209">_xlfn.TEXTSPLIT(C209,"|")</f>
        <v>[UV2] Agent de sécurité, je dispose d’un véhicule d’entreprise équipé d’un gyrophare orange :</v>
      </c>
      <c r="E209" t="str">
        <v>Aucune des autres réponses</v>
      </c>
      <c r="F209" t="str">
        <v>C’est absolument interdit</v>
      </c>
      <c r="G209" t="str">
        <v>C’est autorisé uniquement à l’intérieur des sites surveillés, si les consignes le prévoient</v>
      </c>
      <c r="H209" t="str">
        <v>Seuls les gyrophares bleus sont autorisés pour les agents de sécurité</v>
      </c>
      <c r="I209" t="str">
        <v>C’est interdit, sauf en situation d’urgence attentat</v>
      </c>
      <c r="J209" t="str">
        <v>C</v>
      </c>
    </row>
    <row r="210" spans="1:10" x14ac:dyDescent="0.25">
      <c r="A210" s="18" t="s">
        <v>1249</v>
      </c>
      <c r="B210" s="17">
        <f t="shared" si="22"/>
        <v>3</v>
      </c>
      <c r="C210" s="17" t="str">
        <f t="shared" si="23"/>
        <v>[UV2] Selon la loi, est une arme par destination :|Tout objet conçu pour usage professionnel|Tout objet conçu pour tuer ou blesser|Aucune des autres réponses|Tout objet susceptible de présenter un danger pour des personnes, dès lors qu’il est utilisé pour menacer|Tout objet pouvant causer des dommages|D</v>
      </c>
      <c r="D210" t="str" cm="1">
        <f t="array" ref="D210:J210">_xlfn.TEXTSPLIT(C210,"|")</f>
        <v>[UV2] Selon la loi, est une arme par destination :</v>
      </c>
      <c r="E210" t="str">
        <v>Tout objet conçu pour usage professionnel</v>
      </c>
      <c r="F210" t="str">
        <v>Tout objet conçu pour tuer ou blesser</v>
      </c>
      <c r="G210" t="str">
        <v>Aucune des autres réponses</v>
      </c>
      <c r="H210" t="str">
        <v>Tout objet susceptible de présenter un danger pour des personnes, dès lors qu’il est utilisé pour menacer</v>
      </c>
      <c r="I210" t="str">
        <v>Tout objet pouvant causer des dommages</v>
      </c>
      <c r="J210" t="str">
        <v>D</v>
      </c>
    </row>
    <row r="211" spans="1:10" x14ac:dyDescent="0.25">
      <c r="A211" s="18" t="s">
        <v>1250</v>
      </c>
      <c r="B211" s="17">
        <f t="shared" si="22"/>
        <v>3</v>
      </c>
      <c r="C211" s="17" t="str">
        <f t="shared" si="23"/>
        <v>[UV11] Le report d’alarme d’une centrale intrusion est un dispositif :|Uniquement destiné aux équipes de sûreté en cas d’intrusion|De secours en cas de défaillance du clavier principal|Qui permet aux agents d’accéder à certaines informations hors du PCS|De cloisonnement anti-intrusion indépendant du système central|Aucune des autres réponses|C</v>
      </c>
      <c r="D211" t="str" cm="1">
        <f t="array" ref="D211:J211">_xlfn.TEXTSPLIT(C211,"|")</f>
        <v>[UV11] Le report d’alarme d’une centrale intrusion est un dispositif :</v>
      </c>
      <c r="E211" t="str">
        <v>Uniquement destiné aux équipes de sûreté en cas d’intrusion</v>
      </c>
      <c r="F211" t="str">
        <v>De secours en cas de défaillance du clavier principal</v>
      </c>
      <c r="G211" t="str">
        <v>Qui permet aux agents d’accéder à certaines informations hors du PCS</v>
      </c>
      <c r="H211" t="str">
        <v>De cloisonnement anti-intrusion indépendant du système central</v>
      </c>
      <c r="I211" t="str">
        <v>Aucune des autres réponses</v>
      </c>
      <c r="J211" t="str">
        <v>C</v>
      </c>
    </row>
    <row r="212" spans="1:10" x14ac:dyDescent="0.25">
      <c r="A212" s="18" t="s">
        <v>1251</v>
      </c>
      <c r="B212" s="17">
        <f t="shared" si="22"/>
        <v>3</v>
      </c>
      <c r="C212" s="17" t="str">
        <f t="shared" si="23"/>
        <v>[UV14] Dans quel document l’APS peut trouver les mesures opératoires des secours extérieurs lors d’un sinistre majeur ?|Le Plan des Opérations Externes (P.O.E.)|Le Plan Particulier d’Intervention (P.P.I. ou équivalent)|Le Plan de Secours Extérieurs (P.S.E.)|Le Plan Particulier des Risques Majeurs (P.P.R.M.)|Aucune des autres réponses|B</v>
      </c>
      <c r="D212" t="str" cm="1">
        <f t="array" ref="D212:J212">_xlfn.TEXTSPLIT(C212,"|")</f>
        <v>[UV14] Dans quel document l’APS peut trouver les mesures opératoires des secours extérieurs lors d’un sinistre majeur ?</v>
      </c>
      <c r="E212" t="str">
        <v>Le Plan des Opérations Externes (P.O.E.)</v>
      </c>
      <c r="F212" t="str">
        <v>Le Plan Particulier d’Intervention (P.P.I. ou équivalent)</v>
      </c>
      <c r="G212" t="str">
        <v>Le Plan de Secours Extérieurs (P.S.E.)</v>
      </c>
      <c r="H212" t="str">
        <v>Le Plan Particulier des Risques Majeurs (P.P.R.M.)</v>
      </c>
      <c r="I212" t="str">
        <v>Aucune des autres réponses</v>
      </c>
      <c r="J212" t="str">
        <v>B</v>
      </c>
    </row>
    <row r="213" spans="1:10" x14ac:dyDescent="0.25">
      <c r="A213" s="18" t="s">
        <v>1252</v>
      </c>
      <c r="B213" s="17">
        <f t="shared" si="22"/>
        <v>3</v>
      </c>
      <c r="C213" s="17" t="str">
        <f t="shared" si="23"/>
        <v>[UV14] Quand doit-on rédiger notamment impérativement un Plan de Prévention ?|En cas de travaux dangereux listés dans l’arrêté du 19 mars 1993|Uniquement lorsque les consignes de sûreté le prévoient|Si vous estimez que l’importance des travaux le nécessitent|Uniquement sur demande explicite du client|Aucune des autres réponses|A</v>
      </c>
      <c r="D213" t="str" cm="1">
        <f t="array" ref="D213:J213">_xlfn.TEXTSPLIT(C213,"|")</f>
        <v>[UV14] Quand doit-on rédiger notamment impérativement un Plan de Prévention ?</v>
      </c>
      <c r="E213" t="str">
        <v>En cas de travaux dangereux listés dans l’arrêté du 19 mars 1993</v>
      </c>
      <c r="F213" t="str">
        <v>Uniquement lorsque les consignes de sûreté le prévoient</v>
      </c>
      <c r="G213" t="str">
        <v>Si vous estimez que l’importance des travaux le nécessitent</v>
      </c>
      <c r="H213" t="str">
        <v>Uniquement sur demande explicite du client</v>
      </c>
      <c r="I213" t="str">
        <v>Aucune des autres réponses</v>
      </c>
      <c r="J213" t="str">
        <v>A</v>
      </c>
    </row>
    <row r="214" spans="1:10" x14ac:dyDescent="0.25">
      <c r="A214" s="18" t="s">
        <v>1253</v>
      </c>
      <c r="B214" s="17">
        <f t="shared" si="22"/>
        <v>3</v>
      </c>
      <c r="C214" s="17" t="str">
        <f t="shared" si="23"/>
        <v>[UV14] Quel est l’objectif général de la prévention ?|Définir les mesures de sûreté|Protéger l’employeur du risque pénal|Améliorer les statistiques concernant les taux d’accidents|Éviter ou limiter les dommages|Aucune des autres réponses|D</v>
      </c>
      <c r="D214" t="str" cm="1">
        <f t="array" ref="D214:J214">_xlfn.TEXTSPLIT(C214,"|")</f>
        <v>[UV14] Quel est l’objectif général de la prévention ?</v>
      </c>
      <c r="E214" t="str">
        <v>Définir les mesures de sûreté</v>
      </c>
      <c r="F214" t="str">
        <v>Protéger l’employeur du risque pénal</v>
      </c>
      <c r="G214" t="str">
        <v>Améliorer les statistiques concernant les taux d’accidents</v>
      </c>
      <c r="H214" t="str">
        <v>Éviter ou limiter les dommages</v>
      </c>
      <c r="I214" t="str">
        <v>Aucune des autres réponses</v>
      </c>
      <c r="J214" t="str">
        <v>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76</vt:i4>
      </vt:variant>
    </vt:vector>
  </HeadingPairs>
  <TitlesOfParts>
    <vt:vector size="79" baseType="lpstr">
      <vt:lpstr>Liste_Questions</vt:lpstr>
      <vt:lpstr>Liste_UV</vt:lpstr>
      <vt:lpstr>Feuil1</vt:lpstr>
      <vt:lpstr>Feuil1!_1h997plu2r3q</vt:lpstr>
      <vt:lpstr>Feuil1!_1x11d5k5io24</vt:lpstr>
      <vt:lpstr>Feuil1!_25b71xk2i301</vt:lpstr>
      <vt:lpstr>Feuil1!_2k99lr79hl9i</vt:lpstr>
      <vt:lpstr>Feuil1!_2utln1nfnqsx</vt:lpstr>
      <vt:lpstr>Feuil1!_3bxdsxq7p8gw</vt:lpstr>
      <vt:lpstr>Feuil1!_5ocrwot4q9or</vt:lpstr>
      <vt:lpstr>Feuil1!_62p8mewzupdh</vt:lpstr>
      <vt:lpstr>Feuil1!_63ehbuvcc3tw</vt:lpstr>
      <vt:lpstr>Feuil1!_6g3puvkrrskn</vt:lpstr>
      <vt:lpstr>Feuil1!_6sxpqe84lwy</vt:lpstr>
      <vt:lpstr>Feuil1!_76u3b285zost</vt:lpstr>
      <vt:lpstr>Feuil1!_76x8livz92e3</vt:lpstr>
      <vt:lpstr>Feuil1!_7npq3rapq3b5</vt:lpstr>
      <vt:lpstr>Feuil1!_8i1gdydhdqo8</vt:lpstr>
      <vt:lpstr>Feuil1!_8vd2wc5v9auo</vt:lpstr>
      <vt:lpstr>Feuil1!_92rzspumfy17</vt:lpstr>
      <vt:lpstr>Feuil1!_9hexdyk5v0wx</vt:lpstr>
      <vt:lpstr>Feuil1!_9jeesbxf4272</vt:lpstr>
      <vt:lpstr>Feuil1!_9o8iqnw0882k</vt:lpstr>
      <vt:lpstr>Feuil1!_a1blj5gc9j8j</vt:lpstr>
      <vt:lpstr>Feuil1!_a20iajxrewtn</vt:lpstr>
      <vt:lpstr>Feuil1!_a75ul79bzp21</vt:lpstr>
      <vt:lpstr>Feuil1!_atn6jtpgu1zu</vt:lpstr>
      <vt:lpstr>Feuil1!_b77wlvmmh9wq</vt:lpstr>
      <vt:lpstr>Feuil1!_be1fc6ea00hk</vt:lpstr>
      <vt:lpstr>Feuil1!_byzztlualq0q</vt:lpstr>
      <vt:lpstr>Feuil1!_ccy2pemctn8p</vt:lpstr>
      <vt:lpstr>Feuil1!_chgzqrac0okr</vt:lpstr>
      <vt:lpstr>Feuil1!_dwwrsfcgojso</vt:lpstr>
      <vt:lpstr>Feuil1!_e8p5frs5ytai</vt:lpstr>
      <vt:lpstr>Feuil1!_eltq1ml39i8g</vt:lpstr>
      <vt:lpstr>Feuil1!_f4und4vdlss2</vt:lpstr>
      <vt:lpstr>Feuil1!_g0y5qe76r34g</vt:lpstr>
      <vt:lpstr>Feuil1!_g70xgby2qf4</vt:lpstr>
      <vt:lpstr>Feuil1!_g8ek9utgccwp</vt:lpstr>
      <vt:lpstr>Feuil1!_g9qmie434sne</vt:lpstr>
      <vt:lpstr>Feuil1!_gawbf46ma6oj</vt:lpstr>
      <vt:lpstr>Feuil1!_gelkcw7y8ynz</vt:lpstr>
      <vt:lpstr>Feuil1!_hdt4xnw2zsex</vt:lpstr>
      <vt:lpstr>Feuil1!_hm9eh7d297ex</vt:lpstr>
      <vt:lpstr>Feuil1!_i1nfs8unu8of</vt:lpstr>
      <vt:lpstr>Feuil1!_i84ik2pub0j3</vt:lpstr>
      <vt:lpstr>Feuil1!_ieozcmlv3r2</vt:lpstr>
      <vt:lpstr>Feuil1!_iqeveq8of09t</vt:lpstr>
      <vt:lpstr>Feuil1!_j9lo7fkxjlb</vt:lpstr>
      <vt:lpstr>Feuil1!_kc00q4gy8hb8</vt:lpstr>
      <vt:lpstr>Feuil1!_kg2jlon5v06</vt:lpstr>
      <vt:lpstr>Feuil1!_kor4i06yw3hg</vt:lpstr>
      <vt:lpstr>Feuil1!_kwnngch1lt48</vt:lpstr>
      <vt:lpstr>Feuil1!_lx174ek5g80a</vt:lpstr>
      <vt:lpstr>Feuil1!_nyqwx0jkl5qi</vt:lpstr>
      <vt:lpstr>Feuil1!_nz347gkbav67</vt:lpstr>
      <vt:lpstr>Feuil1!_odb06e873shv</vt:lpstr>
      <vt:lpstr>Feuil1!_p9wiu4shs9hc</vt:lpstr>
      <vt:lpstr>Feuil1!_pzw7706yg5ao</vt:lpstr>
      <vt:lpstr>Feuil1!_qf459c9a8pp1</vt:lpstr>
      <vt:lpstr>Feuil1!_qxb3o5v8mgjr</vt:lpstr>
      <vt:lpstr>Feuil1!_r9s9ghg1e3hf</vt:lpstr>
      <vt:lpstr>Feuil1!_sicn53eiffia</vt:lpstr>
      <vt:lpstr>Feuil1!_tt764b9auzq8</vt:lpstr>
      <vt:lpstr>Feuil1!_u74njex1xmue</vt:lpstr>
      <vt:lpstr>Feuil1!_u9haniwxsi9j</vt:lpstr>
      <vt:lpstr>Feuil1!_utuurwq44qbd</vt:lpstr>
      <vt:lpstr>Feuil1!_v2a1uzdymhjv</vt:lpstr>
      <vt:lpstr>Feuil1!_vdgtxnft4z9o</vt:lpstr>
      <vt:lpstr>Feuil1!_vk618iff2ee1</vt:lpstr>
      <vt:lpstr>Feuil1!_vs7np853i52g</vt:lpstr>
      <vt:lpstr>Feuil1!_vyvwb23eh5z1</vt:lpstr>
      <vt:lpstr>Feuil1!_w3sb88kffkq</vt:lpstr>
      <vt:lpstr>Feuil1!_wpn81467iw0b</vt:lpstr>
      <vt:lpstr>Feuil1!_x6nck1a900y</vt:lpstr>
      <vt:lpstr>Feuil1!_xgrsy6hezdp9</vt:lpstr>
      <vt:lpstr>Feuil1!_y4xt3quxwyvi</vt:lpstr>
      <vt:lpstr>Feuil1!_yj4hh6ff2wx9</vt:lpstr>
      <vt:lpstr>Feuil1!_yyxysi2ip7um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MONGE Céline</cp:lastModifiedBy>
  <dcterms:created xsi:type="dcterms:W3CDTF">2025-11-13T07:17:07Z</dcterms:created>
  <dcterms:modified xsi:type="dcterms:W3CDTF">2025-11-22T19:27:08Z</dcterms:modified>
</cp:coreProperties>
</file>