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333" documentId="13_ncr:1_{2ACE7C71-CCF8-48B7-AEC7-69C3CEDFEA63}" xr6:coauthVersionLast="47" xr6:coauthVersionMax="47" xr10:uidLastSave="{DB602DE5-6FEA-43CD-A844-B98B58E475E2}"/>
  <bookViews>
    <workbookView xWindow="-120" yWindow="-120" windowWidth="29040" windowHeight="15720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62p8mewzupdh" localSheetId="2">Feuil1!$A$9</definedName>
    <definedName name="_6sxpqe84lwy" localSheetId="2">Feuil1!$A$27</definedName>
    <definedName name="_847vco2er5vx" localSheetId="2">Feuil1!#REF!</definedName>
    <definedName name="_8vd2wc5v9auo" localSheetId="2">Feuil1!$A$12</definedName>
    <definedName name="_atn6jtpgu1zu" localSheetId="2">Feuil1!$A$6</definedName>
    <definedName name="_be1fc6ea00hk" localSheetId="2">Feuil1!$A$24</definedName>
    <definedName name="_e8p5frs5ytai" localSheetId="2">Feuil1!$A$3</definedName>
    <definedName name="_eltq1ml39i8g" localSheetId="2">Feuil1!$A$110</definedName>
    <definedName name="_xlnm._FilterDatabase" localSheetId="0" hidden="1">Liste_Questions!$A$1:$J$76</definedName>
    <definedName name="_g70xgby2qf4" localSheetId="2">Feuil1!$A$4</definedName>
    <definedName name="_g9qmie434sne" localSheetId="2">Feuil1!$A$10</definedName>
    <definedName name="_hplm79wzz7gn" localSheetId="2">Feuil1!#REF!</definedName>
    <definedName name="_i84ik2pub0j3" localSheetId="2">Feuil1!$A$23</definedName>
    <definedName name="_nyqwx0jkl5qi" localSheetId="2">Feuil1!$A$33</definedName>
    <definedName name="_p9wiu4shs9hc" localSheetId="2">Feuil1!$A$112</definedName>
    <definedName name="_tt764b9auzq8" localSheetId="2">Feuil1!$A$8</definedName>
    <definedName name="_u9haniwxsi9j" localSheetId="2">Feuil1!$A$16</definedName>
    <definedName name="_vk618iff2ee1" localSheetId="2">Feuil1!$A$111</definedName>
    <definedName name="_wpn81467iw0b" localSheetId="2">Feuil1!$A$7</definedName>
    <definedName name="_xgrsy6hezdp9" localSheetId="2">Feuil1!$A$25</definedName>
    <definedName name="_yj4hh6ff2wx9" localSheetId="2">Feuil1!$A$28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8" i="3" l="1"/>
  <c r="C158" i="3" s="1"/>
  <c r="D158" i="3" s="1" a="1"/>
  <c r="D158" i="3" s="1"/>
  <c r="B157" i="3"/>
  <c r="C157" i="3" s="1"/>
  <c r="D157" i="3" s="1" a="1"/>
  <c r="D157" i="3" s="1"/>
  <c r="B156" i="3"/>
  <c r="C156" i="3" s="1"/>
  <c r="D156" i="3" s="1" a="1"/>
  <c r="D156" i="3" s="1"/>
  <c r="B155" i="3"/>
  <c r="C155" i="3" s="1"/>
  <c r="D155" i="3" s="1" a="1"/>
  <c r="D155" i="3" s="1"/>
  <c r="B154" i="3"/>
  <c r="C154" i="3" s="1"/>
  <c r="D154" i="3" s="1" a="1"/>
  <c r="D154" i="3" s="1"/>
  <c r="B153" i="3"/>
  <c r="C153" i="3" s="1"/>
  <c r="D153" i="3" s="1" a="1"/>
  <c r="D153" i="3" s="1"/>
  <c r="B152" i="3"/>
  <c r="C152" i="3" s="1"/>
  <c r="D152" i="3" s="1" a="1"/>
  <c r="D152" i="3" s="1"/>
  <c r="B151" i="3"/>
  <c r="C151" i="3" s="1"/>
  <c r="D151" i="3" s="1" a="1"/>
  <c r="D151" i="3" s="1"/>
  <c r="B150" i="3"/>
  <c r="C150" i="3" s="1"/>
  <c r="D150" i="3" s="1" a="1"/>
  <c r="D150" i="3" s="1"/>
  <c r="B149" i="3"/>
  <c r="C149" i="3" s="1"/>
  <c r="D149" i="3" s="1" a="1"/>
  <c r="D149" i="3" s="1"/>
  <c r="B148" i="3"/>
  <c r="C148" i="3" s="1"/>
  <c r="D148" i="3" s="1" a="1"/>
  <c r="D148" i="3" s="1"/>
  <c r="B147" i="3"/>
  <c r="C147" i="3" s="1"/>
  <c r="D147" i="3" s="1" a="1"/>
  <c r="D147" i="3" s="1"/>
  <c r="B146" i="3"/>
  <c r="C146" i="3" s="1"/>
  <c r="D146" i="3" s="1" a="1"/>
  <c r="D146" i="3" s="1"/>
  <c r="B145" i="3"/>
  <c r="C145" i="3" s="1"/>
  <c r="D145" i="3" s="1" a="1"/>
  <c r="D145" i="3" s="1"/>
  <c r="B144" i="3"/>
  <c r="C144" i="3" s="1"/>
  <c r="D144" i="3" s="1" a="1"/>
  <c r="D144" i="3" s="1"/>
  <c r="B143" i="3"/>
  <c r="C143" i="3" s="1"/>
  <c r="D143" i="3" s="1" a="1"/>
  <c r="D143" i="3" s="1"/>
  <c r="B142" i="3"/>
  <c r="C142" i="3" s="1"/>
  <c r="D142" i="3" s="1" a="1"/>
  <c r="D142" i="3" s="1"/>
  <c r="B141" i="3"/>
  <c r="C141" i="3" s="1"/>
  <c r="D141" i="3" s="1" a="1"/>
  <c r="D141" i="3" s="1"/>
  <c r="B140" i="3"/>
  <c r="C140" i="3" s="1"/>
  <c r="D140" i="3" s="1" a="1"/>
  <c r="D140" i="3" s="1"/>
  <c r="B139" i="3"/>
  <c r="C139" i="3" s="1"/>
  <c r="D139" i="3" s="1" a="1"/>
  <c r="D139" i="3" s="1"/>
  <c r="B138" i="3"/>
  <c r="C138" i="3" s="1"/>
  <c r="D138" i="3" s="1" a="1"/>
  <c r="D138" i="3" s="1"/>
  <c r="B137" i="3"/>
  <c r="C137" i="3" s="1"/>
  <c r="D137" i="3" s="1" a="1"/>
  <c r="D137" i="3" s="1"/>
  <c r="B136" i="3"/>
  <c r="C136" i="3" s="1"/>
  <c r="D136" i="3" s="1" a="1"/>
  <c r="D136" i="3" s="1"/>
  <c r="B134" i="3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B55" i="3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B63" i="3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B71" i="3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C47" i="3"/>
  <c r="D47" i="3" s="1" a="1"/>
  <c r="D47" i="3" s="1"/>
  <c r="C54" i="3"/>
  <c r="D54" i="3" s="1" a="1"/>
  <c r="D54" i="3" s="1"/>
  <c r="C55" i="3"/>
  <c r="D55" i="3" a="1"/>
  <c r="D55" i="3" s="1"/>
  <c r="C62" i="3"/>
  <c r="D62" i="3" s="1" a="1"/>
  <c r="D62" i="3" s="1"/>
  <c r="C63" i="3"/>
  <c r="D63" i="3" s="1" a="1"/>
  <c r="D63" i="3" s="1"/>
  <c r="C70" i="3"/>
  <c r="D70" i="3" s="1" a="1"/>
  <c r="D70" i="3" s="1"/>
  <c r="C71" i="3"/>
  <c r="D71" i="3" s="1" a="1"/>
  <c r="D71" i="3" s="1"/>
  <c r="C79" i="3"/>
  <c r="D79" i="3" a="1"/>
  <c r="D79" i="3" s="1"/>
  <c r="B29" i="3"/>
  <c r="C29" i="3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/>
  <c r="D41" i="3" s="1" a="1"/>
  <c r="D41" i="3" s="1"/>
  <c r="B11" i="3"/>
  <c r="C11" i="3" s="1"/>
  <c r="D11" i="3" s="1" a="1"/>
  <c r="D11" i="3" s="1"/>
  <c r="B12" i="3"/>
  <c r="C12" i="3"/>
  <c r="D12" i="3" s="1" a="1"/>
  <c r="D12" i="3" s="1"/>
  <c r="B13" i="3"/>
  <c r="C13" i="3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/>
  <c r="D16" i="3" s="1" a="1"/>
  <c r="D16" i="3" s="1"/>
  <c r="B17" i="3"/>
  <c r="C17" i="3"/>
  <c r="D17" i="3" s="1" a="1"/>
  <c r="D17" i="3" s="1"/>
  <c r="B18" i="3"/>
  <c r="C18" i="3"/>
  <c r="D18" i="3" a="1"/>
  <c r="D18" i="3" s="1"/>
  <c r="B19" i="3"/>
  <c r="C19" i="3"/>
  <c r="D19" i="3" a="1"/>
  <c r="D19" i="3" s="1"/>
  <c r="B20" i="3"/>
  <c r="C20" i="3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/>
  <c r="D23" i="3" a="1"/>
  <c r="D23" i="3" s="1"/>
  <c r="B24" i="3"/>
  <c r="C24" i="3"/>
  <c r="D24" i="3" s="1" a="1"/>
  <c r="D24" i="3" s="1"/>
  <c r="B25" i="3"/>
  <c r="C25" i="3" s="1"/>
  <c r="D25" i="3" s="1" a="1"/>
  <c r="D25" i="3" s="1"/>
  <c r="B26" i="3"/>
  <c r="C26" i="3"/>
  <c r="D26" i="3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<sst xmlns="http://schemas.openxmlformats.org/spreadsheetml/2006/main" count="1889" uniqueCount="1124">
  <si>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</si>
  <si>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</si>
  <si>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</si>
  <si>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</si>
  <si>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</si>
  <si>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</si>
  <si>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</si>
  <si>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</si>
  <si>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</si>
  <si>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</si>
  <si>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</si>
  <si>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</si>
  <si>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</si>
  <si>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</si>
  <si>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</si>
  <si>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</si>
  <si>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</si>
  <si>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</si>
  <si>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</si>
  <si>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</si>
  <si>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</si>
  <si>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</si>
  <si>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</si>
  <si>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</si>
  <si>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</si>
  <si>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</si>
  <si>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</si>
  <si>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</si>
  <si>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</si>
  <si>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</si>
  <si>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</si>
  <si>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</si>
  <si>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</si>
  <si>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</si>
  <si>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</si>
  <si>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</si>
  <si>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</si>
  <si>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</si>
  <si>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</si>
  <si>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</si>
  <si>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</si>
  <si>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</si>
  <si>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</si>
  <si>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</si>
  <si>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</si>
  <si>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</si>
  <si>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</si>
  <si>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</si>
  <si>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</si>
  <si>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</si>
  <si>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</si>
  <si>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</si>
  <si>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</si>
  <si>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</si>
  <si>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</si>
  <si>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</si>
  <si>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</si>
  <si>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</si>
  <si>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</si>
  <si>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</si>
  <si>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</si>
  <si>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</si>
  <si>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</si>
  <si>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</si>
  <si>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</si>
  <si>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</si>
  <si>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</si>
  <si>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</si>
  <si>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</si>
  <si>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</si>
  <si>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</si>
  <si>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</si>
  <si>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</si>
  <si>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</si>
  <si>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</si>
  <si>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</si>
  <si>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</si>
  <si>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</si>
  <si>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</si>
  <si>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</si>
  <si>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</si>
  <si>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</si>
  <si>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</si>
  <si>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</si>
  <si>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</si>
  <si>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</si>
  <si>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</si>
  <si>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</si>
  <si>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</si>
  <si>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</si>
  <si>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</si>
  <si>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</si>
  <si>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</si>
  <si>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</si>
  <si>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</si>
  <si>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</si>
  <si>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</si>
  <si>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</si>
  <si>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</si>
  <si>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</si>
  <si>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</si>
  <si>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</si>
  <si>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</si>
  <si>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</si>
  <si>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</si>
  <si>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</si>
  <si>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</si>
  <si>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</si>
  <si>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</si>
  <si>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</si>
  <si>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</si>
  <si>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</si>
  <si>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</si>
  <si>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</si>
  <si>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</si>
  <si>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</si>
  <si>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</si>
  <si>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</si>
  <si>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</si>
  <si>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</si>
  <si>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</si>
  <si>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</si>
  <si>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</si>
  <si>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</si>
  <si>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</si>
  <si>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</si>
  <si>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</si>
  <si>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</si>
  <si>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</si>
  <si>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</si>
  <si>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</si>
  <si>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</si>
  <si>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</si>
  <si>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</si>
  <si>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</si>
  <si>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</si>
  <si>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</si>
  <si>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</si>
  <si>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</si>
  <si>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</si>
  <si>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</si>
  <si>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</si>
  <si>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</si>
  <si>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</si>
  <si>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</si>
  <si>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</si>
  <si>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</si>
  <si>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</si>
  <si>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</si>
  <si>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</si>
  <si>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</si>
  <si>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</si>
  <si>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</si>
  <si>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</si>
  <si>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</si>
  <si>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</si>
  <si>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</si>
  <si>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</si>
  <si>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</si>
  <si>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</si>
  <si>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</si>
  <si>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</si>
  <si>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</si>
  <si>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</si>
  <si>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</si>
  <si>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</si>
  <si>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</si>
  <si>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</si>
  <si>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</si>
  <si>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</si>
  <si>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</si>
  <si>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</si>
  <si>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</si>
  <si>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</si>
  <si>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</si>
  <si>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</si>
  <si>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</si>
  <si>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</si>
  <si>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</si>
  <si>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</si>
  <si>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</si>
  <si>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</si>
  <si>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</si>
  <si>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</si>
  <si>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</si>
  <si>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</si>
  <si>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</si>
  <si>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</si>
  <si>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</si>
  <si>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</si>
  <si>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</si>
  <si>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</si>
  <si>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</si>
  <si>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</si>
  <si>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</si>
  <si>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</si>
  <si>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</si>
  <si>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</si>
  <si>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</si>
  <si>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</si>
  <si>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</si>
  <si>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</si>
  <si>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</si>
  <si>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</si>
  <si>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</si>
  <si>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</si>
  <si>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</si>
  <si>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</si>
  <si>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</si>
  <si>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</si>
  <si>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</si>
  <si>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</si>
  <si>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</si>
  <si>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</si>
  <si>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</si>
  <si>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</si>
  <si>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</si>
  <si>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</si>
  <si>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</si>
  <si>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</si>
  <si>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</si>
  <si>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</si>
  <si>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</si>
  <si>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</si>
  <si>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</si>
  <si>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</si>
  <si>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</si>
  <si>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</si>
  <si>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</si>
  <si>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</si>
  <si>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</si>
  <si>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</si>
  <si>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</si>
  <si>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</si>
  <si>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</si>
  <si>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</si>
  <si>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</si>
  <si>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</si>
  <si>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</si>
  <si>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</si>
  <si>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</si>
  <si>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</si>
  <si>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</si>
  <si>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</si>
  <si>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</si>
  <si>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</si>
  <si>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</si>
  <si>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</si>
  <si>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</si>
  <si>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</si>
  <si>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</si>
  <si>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</si>
  <si>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</si>
  <si>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</si>
  <si>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</si>
  <si>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</si>
  <si>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</si>
  <si>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</si>
  <si>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</si>
  <si>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</si>
  <si>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</si>
  <si>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</si>
  <si>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</si>
  <si>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</si>
  <si>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</si>
  <si>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</si>
  <si>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</si>
  <si>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</si>
  <si>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</si>
  <si>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</si>
  <si>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</si>
  <si>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</si>
  <si>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</si>
  <si>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</si>
  <si>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</si>
  <si>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</si>
  <si>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</si>
  <si>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</si>
  <si>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</si>
  <si>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</si>
  <si>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</si>
  <si>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</si>
  <si>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</si>
  <si>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</si>
  <si>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</si>
  <si>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</si>
  <si>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</si>
  <si>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</si>
  <si>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</si>
  <si>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</si>
  <si>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</si>
  <si>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</si>
  <si>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</si>
  <si>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</si>
  <si>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</si>
  <si>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</si>
  <si>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</si>
  <si>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</si>
  <si>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</si>
  <si>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</si>
  <si>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</si>
  <si>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</si>
  <si>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</si>
  <si>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</si>
  <si>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</si>
  <si>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</si>
  <si>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</si>
  <si>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</si>
  <si>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</si>
  <si>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</si>
  <si>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</si>
  <si>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</si>
  <si>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</si>
  <si>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</si>
  <si>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</si>
  <si>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</si>
  <si>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</si>
  <si>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</si>
  <si>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</si>
  <si>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</si>
  <si>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</si>
  <si>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</si>
  <si>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</si>
  <si>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</si>
  <si>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</si>
  <si>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</si>
  <si>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</si>
  <si>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</si>
  <si>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</si>
  <si>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</si>
  <si>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</si>
  <si>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</si>
  <si>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</si>
  <si>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</si>
  <si>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</si>
  <si>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</si>
  <si>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</si>
  <si>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</si>
  <si>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</si>
  <si>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</si>
  <si>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</si>
  <si>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</si>
  <si>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</si>
  <si>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</si>
  <si>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</si>
  <si>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</si>
  <si>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</si>
  <si>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</si>
  <si>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</si>
  <si>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</si>
  <si>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</si>
  <si>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</si>
  <si>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</si>
  <si>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</si>
  <si>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</si>
  <si>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</si>
  <si>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</si>
  <si>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</si>
  <si>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</si>
  <si>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</si>
  <si>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</si>
  <si>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</si>
  <si>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</si>
  <si>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</si>
  <si>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</si>
  <si>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</si>
  <si>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</si>
  <si>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</si>
  <si>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</si>
  <si>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</si>
  <si>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</si>
  <si>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</si>
  <si>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</si>
  <si>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</si>
  <si>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</si>
  <si>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</si>
  <si>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</si>
  <si>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</si>
  <si>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</si>
  <si>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</si>
  <si>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</si>
  <si>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</si>
  <si>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</si>
  <si>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</si>
  <si>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</si>
  <si>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</si>
  <si>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</si>
  <si>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</si>
  <si>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</si>
  <si>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</si>
  <si>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</si>
  <si>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</si>
  <si>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</si>
  <si>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</si>
  <si>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</si>
  <si>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</si>
  <si>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</si>
  <si>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</si>
  <si>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</si>
  <si>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</si>
  <si>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</si>
  <si>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</si>
  <si>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</si>
  <si>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</si>
  <si>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</si>
  <si>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</si>
  <si>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</si>
  <si>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</si>
  <si>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</si>
  <si>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</si>
  <si>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</si>
  <si>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</si>
  <si>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</si>
  <si>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</si>
  <si>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</si>
  <si>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</si>
  <si>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</si>
  <si>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</si>
  <si>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</si>
  <si>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</si>
  <si>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</si>
  <si>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</si>
  <si>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</si>
  <si>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</si>
  <si>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</si>
  <si>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</si>
  <si>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</si>
  <si>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</si>
  <si>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</si>
  <si>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</si>
  <si>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</si>
  <si>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</si>
  <si>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</si>
  <si>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</si>
  <si>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</si>
  <si>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</si>
  <si>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</si>
  <si>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</si>
  <si>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</si>
  <si>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</si>
  <si>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</si>
  <si>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</si>
  <si>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</si>
  <si>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</si>
  <si>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</si>
  <si>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</si>
  <si>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</si>
  <si>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</si>
  <si>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</si>
  <si>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</si>
  <si>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</si>
  <si>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</si>
  <si>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</si>
  <si>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</si>
  <si>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</si>
  <si>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</si>
  <si>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</si>
  <si>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</si>
  <si>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</si>
  <si>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</si>
  <si>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</si>
  <si>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</si>
  <si>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</si>
  <si>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</si>
  <si>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</si>
  <si>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</si>
  <si>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</si>
  <si>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</si>
  <si>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</si>
  <si>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</si>
  <si>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</si>
  <si>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</si>
  <si>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</si>
  <si>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</si>
  <si>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</si>
  <si>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</si>
  <si>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</si>
  <si>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</si>
  <si>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</si>
  <si>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</si>
  <si>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</si>
  <si>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</si>
  <si>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</si>
  <si>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</si>
  <si>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</si>
  <si>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</si>
  <si>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</si>
  <si>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</si>
  <si>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</si>
  <si>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</si>
  <si>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</si>
  <si>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</si>
  <si>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</si>
  <si>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</si>
  <si>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</si>
  <si>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</si>
  <si>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</si>
  <si>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</si>
  <si>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</si>
  <si>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</si>
  <si>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</si>
  <si>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</si>
  <si>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</si>
  <si>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</si>
  <si>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</si>
  <si>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</si>
  <si>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</si>
  <si>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</si>
  <si>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</si>
  <si>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</si>
  <si>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</si>
  <si>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</si>
  <si>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</si>
  <si>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</si>
  <si>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</si>
  <si>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</si>
  <si>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</si>
  <si>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</si>
  <si>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</si>
  <si>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</si>
  <si>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</si>
  <si>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</si>
  <si>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</si>
  <si>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</si>
  <si>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</si>
  <si>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</si>
  <si>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</si>
  <si>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</si>
  <si>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</si>
  <si>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</si>
  <si>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</si>
  <si>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</si>
  <si>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</si>
  <si>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</si>
  <si>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</si>
  <si>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</si>
  <si>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</si>
  <si>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</si>
  <si>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</si>
  <si>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</si>
  <si>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</si>
  <si>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</si>
  <si>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</si>
  <si>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</si>
  <si>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</si>
  <si>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</si>
  <si>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</si>
  <si>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</si>
  <si>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</si>
  <si>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</si>
  <si>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</si>
  <si>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</si>
  <si>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</si>
  <si>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</si>
  <si>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</si>
  <si>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</si>
  <si>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</si>
  <si>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</si>
  <si>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</si>
  <si>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</si>
  <si>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</si>
  <si>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</si>
  <si>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</si>
  <si>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</si>
  <si>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</si>
  <si>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</si>
  <si>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</si>
  <si>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</si>
  <si>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</si>
  <si>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</si>
  <si>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</si>
  <si>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</si>
  <si>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</si>
  <si>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</si>
  <si>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</si>
  <si>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</si>
  <si>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</si>
  <si>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</si>
  <si>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</si>
  <si>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</si>
  <si>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</si>
  <si>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</si>
  <si>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</si>
  <si>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</si>
  <si>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</si>
  <si>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</si>
  <si>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</si>
  <si>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</si>
  <si>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</si>
  <si>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</si>
  <si>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</si>
  <si>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</si>
  <si>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</si>
  <si>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</si>
  <si>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</si>
  <si>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</si>
  <si>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</si>
  <si>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</si>
  <si>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</si>
  <si>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</si>
  <si>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</si>
  <si>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</si>
  <si>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</si>
  <si>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</si>
  <si>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</si>
  <si>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</si>
  <si>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</si>
  <si>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</si>
  <si>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</si>
  <si>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</si>
  <si>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</si>
  <si>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</si>
  <si>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</si>
  <si>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</si>
  <si>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</si>
  <si>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</si>
  <si>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</si>
  <si>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</si>
  <si>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</si>
  <si>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</si>
  <si>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</si>
  <si>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</si>
  <si>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</si>
  <si>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</si>
  <si>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</si>
  <si>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</si>
  <si>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</si>
  <si>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</si>
  <si>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</si>
  <si>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</si>
  <si>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</si>
  <si>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</si>
  <si>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</si>
  <si>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</si>
  <si>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</si>
  <si>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</si>
  <si>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</si>
  <si>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</si>
  <si>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</si>
  <si>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</si>
  <si>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</si>
  <si>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</si>
  <si>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</si>
  <si>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</si>
  <si>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</si>
  <si>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</si>
  <si>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</si>
  <si>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</si>
  <si>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</si>
  <si>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</si>
  <si>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</si>
  <si>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</si>
  <si>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</si>
  <si>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</si>
  <si>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</si>
  <si>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</si>
  <si>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</si>
  <si>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</si>
  <si>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</si>
  <si>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</si>
  <si>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</si>
  <si>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</si>
  <si>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</si>
  <si>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</si>
  <si>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</si>
  <si>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</si>
  <si>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</si>
  <si>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</si>
  <si>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</si>
  <si>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</si>
  <si>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</si>
  <si>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</si>
  <si>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</si>
  <si>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</si>
  <si>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</si>
  <si>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</si>
  <si>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</si>
  <si>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</si>
  <si>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</si>
  <si>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</si>
  <si>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</si>
  <si>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</si>
  <si>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</si>
  <si>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</si>
  <si>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</si>
  <si>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</si>
  <si>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</si>
  <si>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</si>
  <si>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</si>
  <si>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</si>
  <si>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</si>
  <si>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</si>
  <si>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</si>
  <si>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</si>
  <si>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</si>
  <si>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</si>
  <si>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</si>
  <si>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</si>
  <si>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</si>
  <si>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</si>
  <si>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</si>
  <si>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</si>
  <si>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</si>
  <si>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</si>
  <si>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</si>
  <si>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</si>
  <si>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</si>
  <si>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</si>
  <si>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</si>
  <si>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</si>
  <si>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</si>
  <si>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</si>
  <si>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</si>
  <si>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</si>
  <si>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</si>
  <si>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</si>
  <si>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</si>
  <si>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</si>
  <si>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</si>
  <si>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</si>
  <si>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</si>
  <si>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</si>
  <si>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</si>
  <si>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</si>
  <si>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</si>
  <si>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</si>
  <si>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</si>
  <si>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</si>
  <si>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</si>
  <si>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</si>
  <si>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</si>
  <si>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</si>
  <si>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</si>
  <si>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</si>
  <si>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</si>
  <si>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</si>
  <si>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</si>
  <si>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</si>
  <si>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</si>
  <si>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</si>
  <si>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</si>
  <si>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</si>
  <si>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</si>
  <si>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</si>
  <si>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</si>
  <si>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</si>
  <si>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</si>
  <si>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</si>
  <si>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</si>
  <si>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</si>
  <si>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</si>
  <si>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</si>
  <si>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</si>
  <si>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</si>
  <si>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</si>
  <si>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</si>
  <si>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</si>
  <si>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</si>
  <si>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</si>
  <si>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</si>
  <si>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</si>
  <si>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</si>
  <si>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</si>
  <si>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</si>
  <si>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</si>
  <si>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</si>
  <si>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</si>
  <si>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</si>
  <si>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</si>
  <si>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</si>
  <si>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</si>
  <si>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</si>
  <si>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</si>
  <si>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</si>
  <si>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</si>
  <si>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</si>
  <si>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</si>
  <si>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</si>
  <si>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</si>
  <si>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</si>
  <si>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</si>
  <si>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</si>
  <si>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</si>
  <si>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</si>
  <si>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</si>
  <si>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</si>
  <si>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</si>
  <si>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</si>
  <si>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</si>
  <si>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</si>
  <si>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</si>
  <si>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</si>
  <si>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</si>
  <si>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</si>
  <si>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</si>
  <si>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</si>
  <si>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</si>
  <si>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</si>
  <si>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</si>
  <si>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</si>
  <si>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</si>
  <si>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</si>
  <si>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</si>
  <si>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</si>
  <si>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</si>
  <si>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</si>
  <si>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</si>
  <si>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</si>
  <si>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</si>
  <si>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</si>
  <si>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</si>
  <si>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</si>
  <si>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</si>
  <si>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</si>
  <si>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</si>
  <si>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</si>
  <si>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</si>
  <si>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</si>
  <si>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</si>
  <si>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</si>
  <si>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</si>
  <si>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</si>
  <si>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</si>
  <si>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</si>
  <si>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</si>
  <si>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</si>
  <si>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</si>
  <si>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</si>
  <si>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</si>
  <si>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</si>
  <si>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</si>
  <si>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</si>
  <si>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</si>
  <si>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</si>
  <si>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</si>
  <si>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</si>
  <si>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</si>
  <si>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</si>
  <si>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</si>
  <si>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</si>
  <si>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</si>
  <si>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</si>
  <si>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</si>
  <si>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</si>
  <si>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</si>
  <si>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</si>
  <si>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</si>
  <si>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</si>
  <si>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</si>
  <si>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</si>
  <si>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</si>
  <si>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</si>
  <si>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</si>
  <si>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</si>
  <si>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</si>
  <si>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</si>
  <si>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</si>
  <si>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</si>
  <si>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</si>
  <si>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</si>
  <si>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</si>
  <si>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</si>
  <si>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</si>
  <si>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</si>
  <si>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</si>
  <si>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</si>
  <si>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</si>
  <si>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</si>
  <si>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</si>
  <si>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</si>
  <si>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</si>
  <si>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</si>
  <si>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</si>
  <si>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</si>
  <si>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</si>
  <si>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</si>
  <si>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</si>
  <si>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</si>
  <si>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</si>
  <si>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</si>
  <si>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</si>
  <si>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</si>
  <si>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</si>
  <si>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</si>
  <si>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</si>
  <si>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</si>
  <si>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</si>
  <si>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</si>
  <si>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</si>
  <si>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</si>
  <si>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</si>
  <si>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</si>
  <si>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</si>
  <si>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</si>
  <si>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</si>
  <si>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</si>
  <si>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</si>
  <si>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</si>
  <si>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</si>
  <si>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</si>
  <si>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</si>
  <si>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</si>
  <si>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</si>
  <si>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</si>
  <si>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</si>
  <si>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</si>
  <si>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</si>
  <si>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</si>
  <si>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</si>
  <si>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</si>
  <si>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</si>
  <si>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</si>
  <si>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</si>
  <si>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</si>
  <si>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</si>
  <si>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</si>
  <si>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</si>
  <si>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</si>
  <si>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</si>
  <si>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</si>
  <si>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</si>
  <si>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</si>
  <si>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</si>
  <si>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</si>
  <si>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</si>
  <si>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</si>
  <si>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</si>
  <si>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</si>
  <si>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</si>
  <si>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</si>
  <si>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</si>
  <si>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</si>
  <si>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</si>
  <si>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</si>
  <si>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</si>
  <si>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</si>
  <si>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</si>
  <si>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</si>
  <si>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</si>
  <si>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</si>
  <si>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</si>
  <si>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</si>
  <si>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</si>
  <si>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</si>
  <si>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</si>
  <si>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</si>
  <si>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</si>
  <si>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</si>
  <si>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</si>
  <si>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</si>
  <si>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</si>
  <si>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</si>
  <si>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</si>
  <si>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</si>
  <si>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</si>
  <si>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</si>
  <si>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</si>
  <si>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</si>
  <si>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</si>
  <si>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</si>
  <si>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</si>
  <si>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</si>
  <si>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</si>
  <si>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</si>
  <si>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</si>
  <si>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</si>
  <si>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</si>
  <si>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</si>
  <si>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</si>
  <si>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</si>
  <si>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</si>
  <si>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</si>
  <si>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</si>
  <si>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</si>
  <si>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</si>
  <si>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</si>
  <si>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</si>
  <si>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</si>
  <si>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</si>
  <si>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</si>
  <si>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</si>
  <si>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</si>
  <si>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</si>
  <si>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</si>
  <si>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</si>
  <si>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</si>
  <si>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</si>
  <si>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</si>
  <si>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</si>
  <si>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</si>
  <si>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</si>
  <si>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</si>
  <si>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</si>
  <si>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</si>
  <si>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</si>
  <si>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</si>
  <si>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</si>
  <si>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</si>
  <si>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</si>
  <si>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</si>
  <si>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</si>
  <si>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</si>
  <si>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r>
      <t xml:space="preserve">        </t>
    </r>
    <r>
      <rPr>
        <sz val="11"/>
        <color theme="1"/>
        <rFont val="Arial"/>
        <family val="2"/>
      </rPr>
      <t>1 – 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</si>
  <si>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 – Quelle type d’alarme existe-il dans le fonctionnement d’un DATI ?|L’alarme semi-automatique|Aucune des réponses précédentes|La perte de verticalité|L’alarme aléatoire|Aucune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</si>
  <si>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 – Quel est le signe distinctif réglementaire qui permet d’identifier un local électrique ?|Un symbole avec une tête de mort|Un triangle rouge|Un triangle jaune|Un panneau défense d’entrer|Aucune des réponses précédentes</t>
    </r>
  </si>
  <si>
    <r>
      <t xml:space="preserve">        </t>
    </r>
    <r>
      <rPr>
        <sz val="11"/>
        <color theme="1"/>
        <rFont val="Arial"/>
        <family val="2"/>
      </rPr>
      <t>4 – Votre équipement de protection du travailleur isolé est utile :|Uniquement au PC|Uniquement durant le circuit de vérification|Au poste de sécurité (PC) et en dehors du PC|Aucune des réponses précédentes</t>
    </r>
  </si>
  <si>
    <r>
      <t xml:space="preserve">        </t>
    </r>
    <r>
      <rPr>
        <sz val="11"/>
        <color theme="1"/>
        <rFont val="Arial"/>
        <family val="2"/>
      </rPr>
      <t>5 – Quelle habilitation minimum doit avoir un APS pour entrer dans un local avec TGBT (Tableau Général Basse Tension) ?|L’habilitation H1 / B1|L’habilitation H0 / B0|L’habilitation BR ou BC|L’habilitation BS ou BE manœuvre|Aucune habilitation n’est nécessaire</t>
    </r>
  </si>
  <si>
    <r>
      <t xml:space="preserve">        </t>
    </r>
    <r>
      <rPr>
        <sz val="11"/>
        <color theme="1"/>
        <rFont val="Arial"/>
        <family val="2"/>
      </rPr>
      <t>6 – Quel est l’un des modes de déclenchement dans le fonctionnement d’un DATI ?|En cas d’arrachement et/ou d’agression morale|En cas d’arrachement et/ou d’agression psychique|En cas d’arrachement et/ou d’agression physique|Aucune des réponses précédentes</t>
    </r>
  </si>
  <si>
    <r>
      <t xml:space="preserve">        </t>
    </r>
    <r>
      <rPr>
        <sz val="11"/>
        <color theme="1"/>
        <rFont val="Arial"/>
        <family val="2"/>
      </rPr>
      <t>7 – 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t>
    </r>
  </si>
  <si>
    <r>
      <t xml:space="preserve">        </t>
    </r>
    <r>
      <rPr>
        <sz val="11"/>
        <color theme="1"/>
        <rFont val="Arial"/>
        <family val="2"/>
      </rPr>
      <t>8 – Que signifie le sigle DATI ?|Dispositif d’Alarme du Travailleur Isolé|Détecteur Automatique Temporisé d’Intrusion|Dispositif d’Alerte du Travailleur Isolé|Dispositif d’Alarme Travail Intérieur|Dispositif d’Alarme Technique Individuel</t>
    </r>
  </si>
  <si>
    <r>
      <t xml:space="preserve">        </t>
    </r>
    <r>
      <rPr>
        <sz val="11"/>
        <color theme="1"/>
        <rFont val="Arial"/>
        <family val="2"/>
      </rPr>
      <t>9 – 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</si>
  <si>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10 – Quelles sont les limites de la basse tension en courant alternatif ?|De 500 V à 800 V|De 50 V à 1000 V|De 500 V à 1000 V|De 50 V à 750 V|Aucune des réponses précédentes</t>
    </r>
  </si>
  <si>
    <r>
      <t xml:space="preserve">        </t>
    </r>
    <r>
      <rPr>
        <sz val="11"/>
        <color theme="1"/>
        <rFont val="Arial"/>
        <family val="2"/>
      </rPr>
      <t>11 – En cas de déclenchement du dispositif d’alarme d’un DATI, peut-on localiser avec précision une victime ?|Oui|Non</t>
    </r>
  </si>
  <si>
    <r>
      <t xml:space="preserve">        </t>
    </r>
    <r>
      <rPr>
        <sz val="11"/>
        <color theme="1"/>
        <rFont val="Arial"/>
        <family val="2"/>
      </rPr>
      <t>12 – 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</si>
  <si>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13 – 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</si>
  <si>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14 – 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</si>
  <si>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15 – 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t>
    </r>
  </si>
  <si>
    <r>
      <t xml:space="preserve">        </t>
    </r>
    <r>
      <rPr>
        <sz val="11"/>
        <color theme="1"/>
        <rFont val="Arial"/>
        <family val="2"/>
      </rPr>
      <t>16 – 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</si>
  <si>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17 – 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</si>
  <si>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18 – Lors d’un orage, une coupure de courant intervient, que faites-vous ?|Rien|Réarmer le disjoncteur principal|Vous cherchez les bougies|J’applique les consignes|Aucune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</si>
  <si>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19 – 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</si>
  <si>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20 – Le courant est dangereux à partir de :|700 V en courant alternatif|500 V en courant alternatif|50 V en courant alternatif|25 V en courant continu|Aucune des réponses précédentes</t>
    </r>
  </si>
  <si>
    <r>
      <t xml:space="preserve">        </t>
    </r>
    <r>
      <rPr>
        <sz val="11"/>
        <color theme="1"/>
        <rFont val="Arial"/>
        <family val="2"/>
      </rPr>
      <t>21 – Qui délivre l’habilitation électrique ?|L’employeur|Le formateur|Le chargé de travaux|Aucune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</si>
  <si>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22 – 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</si>
  <si>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23 – 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t>
    </r>
  </si>
  <si>
    <t>En cas de détection incendie, sur quelle unité le voyant est-il lumineux ?</t>
  </si>
  <si>
    <t>Le CMSI, Centralisateur de Mise en Sécurité Incendie</t>
  </si>
  <si>
    <t>Le SMSI, Système de Mise en Sécurité Incendie</t>
  </si>
  <si>
    <t>Le DAS, Dispositif Actionné de Sécurité</t>
  </si>
  <si>
    <t>Le SDI, Système de Détection Incendie</t>
  </si>
  <si>
    <t>Quelle type d’alarme existe-il dans le fonctionnement d’un DATI ?</t>
  </si>
  <si>
    <t>L’alarme semi-automatique</t>
  </si>
  <si>
    <t>La perte de verticalité</t>
  </si>
  <si>
    <t>L’alarme aléatoire</t>
  </si>
  <si>
    <t>Quel est le signe distinctif réglementaire qui permet d’identifier un local électrique ?</t>
  </si>
  <si>
    <t>Un symbole avec une tête de mort</t>
  </si>
  <si>
    <t>Un triangle rouge</t>
  </si>
  <si>
    <t>Un triangle jaune</t>
  </si>
  <si>
    <t>Un panneau défense d’entrer</t>
  </si>
  <si>
    <t>Votre équipement de protection du travailleur isolé est utile :</t>
  </si>
  <si>
    <t>Uniquement au PC</t>
  </si>
  <si>
    <t>Uniquement durant le circuit de vérification</t>
  </si>
  <si>
    <t>Au poste de sécurité (PC) et en dehors du PC</t>
  </si>
  <si>
    <t>Quelle habilitation minimum doit avoir un APS pour entrer dans un local avec TGBT (Tableau Général Basse Tension) ?</t>
  </si>
  <si>
    <t>L’habilitation H1 / B1</t>
  </si>
  <si>
    <t>L’habilitation H0 / B0</t>
  </si>
  <si>
    <t>L’habilitation BR ou BC</t>
  </si>
  <si>
    <t>L’habilitation BS ou BE manœuvre</t>
  </si>
  <si>
    <t>Aucune habilitation n’est nécessaire</t>
  </si>
  <si>
    <t>Quel est l’un des modes de déclenchement dans le fonctionnement d’un DATI ?</t>
  </si>
  <si>
    <t>En cas d’arrachement et/ou d’agression morale</t>
  </si>
  <si>
    <t>En cas d’arrachement et/ou d’agression psychique</t>
  </si>
  <si>
    <t>En cas d’arrachement et/ou d’agression physique</t>
  </si>
  <si>
    <t>Quel est l’un des éléments qui permet le déclenchement du dispositif DATI ?</t>
  </si>
  <si>
    <t>Le dispositif détecte une position anormale prolongée du travailleur</t>
  </si>
  <si>
    <t>Le dispositif se déclenche en cas d’intrusion</t>
  </si>
  <si>
    <t>Le dispositif se déclenche en cas de ronde réalisée partiellement</t>
  </si>
  <si>
    <t>Le dispositif se déclenche en cas de détonation</t>
  </si>
  <si>
    <t>Que signifie le sigle DATI ?</t>
  </si>
  <si>
    <t>Dispositif d’Alarme du Travailleur Isolé</t>
  </si>
  <si>
    <t>Détecteur Automatique Temporisé d’Intrusion</t>
  </si>
  <si>
    <t>Dispositif d’Alerte du Travailleur Isolé</t>
  </si>
  <si>
    <t>Dispositif d’Alarme Travail Intérieur</t>
  </si>
  <si>
    <t>Dispositif d’Alarme Technique Individuel</t>
  </si>
  <si>
    <t>Pour vous, quelle réponse justifierait le port du DATI ?</t>
  </si>
  <si>
    <t>J’effectue seul(e) une ronde sur un site</t>
  </si>
  <si>
    <t>Je suis en surveillance de nuit avec 3 autres APS</t>
  </si>
  <si>
    <t>Je suis affecté au contrôle d’accès d’un site face à l’accueil en activité</t>
  </si>
  <si>
    <t>Je suis en surveillance derrière la ligne de caisse avec 3 autres APS</t>
  </si>
  <si>
    <t>Quelles sont les limites de la basse tension en courant alternatif ?</t>
  </si>
  <si>
    <t>De 500 V à 800 V</t>
  </si>
  <si>
    <t>De 50 V à 1000 V</t>
  </si>
  <si>
    <t>De 500 V à 1000 V</t>
  </si>
  <si>
    <t>De 50 V à 750 V</t>
  </si>
  <si>
    <t>En cas de déclenchement du dispositif d’alarme d’un DATI, peut-on localiser avec précision une victime ?</t>
  </si>
  <si>
    <t>Lors d’un appel du PC de télésurveillance pour une alarme intrusion sur votre site, vous devez en premier lieu :</t>
  </si>
  <si>
    <t>Noter l’appel sur la main courante ou le cahier de poste</t>
  </si>
  <si>
    <t>Confirmer votre identité par un mot de passe</t>
  </si>
  <si>
    <t>Confirmer qu’il n’existe aucune anomalie avant d’avoir fait effectuer une levée de doute</t>
  </si>
  <si>
    <t>Quelles sont les principales qualités d’un système d’alarme ?</t>
  </si>
  <si>
    <t>Inviolabilité, compatibilité, pluralité, fiabilité, sécurité négative</t>
  </si>
  <si>
    <t>Inviolabilité, compatibilité, pluralité, fébrilité, sécurité négative</t>
  </si>
  <si>
    <t>Inviolabilité, compatibilité, pluralité, fiabilité, sécurité positive</t>
  </si>
  <si>
    <t>Inviolabilité, comptabilité, pluralité, fiabilité, sécurité positive</t>
  </si>
  <si>
    <t>Vous êtes en poste au PC sécurité et une Alarme Incendie retentit</t>
  </si>
  <si>
    <t>Vous appuyez sur l’évacuation générale pour être certain que tout le monde évacue</t>
  </si>
  <si>
    <t>Vous arrêtez immédiatement le signal sonore et réarmez la zone, c’est sûrement rien comme d’habitude</t>
  </si>
  <si>
    <t>Vous finissez ce que vous faisiez vous serez toujours à temps d’envoyer le rondier à son retour de ronde</t>
  </si>
  <si>
    <t>Votre collègue est en ronde, vous êtes en poste au PC et recevez une alarme intrusion, que faites-vous ?</t>
  </si>
  <si>
    <t>Vous rejoignez au plus vite votre collègue pour intervenir plus efficacement</t>
  </si>
  <si>
    <t>Vous effectuez vous-même la levée de doute</t>
  </si>
  <si>
    <t>Vous demandez à votre collègue de se rendre sur le lieu précis de déclenchement de l’alarme pour effectuer la levée de doute</t>
  </si>
  <si>
    <t>Vous attendez que votre collègue finisse sa ronde pour intervenir</t>
  </si>
  <si>
    <t>Vous êtes en poste, les pompiers arrivent sur le site sinistré. Vous êtes informé que la voie d’accès principale est bloquée par un camion stationné. Que faites-vous en priorité ?</t>
  </si>
  <si>
    <t>Je propose aux pompiers d’emprunter un autre accès qui est bien libre</t>
  </si>
  <si>
    <t>J’appelle la Fourrière</t>
  </si>
  <si>
    <t>Lors d’un orage, une coupure de courant intervient, que faites-vous ?</t>
  </si>
  <si>
    <t>Rien</t>
  </si>
  <si>
    <t>Réarmer le disjoncteur principal</t>
  </si>
  <si>
    <t>Vous cherchez les bougies</t>
  </si>
  <si>
    <t>J’applique les consignes</t>
  </si>
  <si>
    <t>Vous êtes seul sur site lors d’une ronde, vous constatez un incendie, que faites-vous en premier ?</t>
  </si>
  <si>
    <t>Je compose le 17</t>
  </si>
  <si>
    <t>Je rends compte au PCS et je tente l’extinction</t>
  </si>
  <si>
    <t>J’ai obligation de prendre un extincteur pour éteindre l’incendie</t>
  </si>
  <si>
    <t>Le courant est dangereux à partir de :</t>
  </si>
  <si>
    <t>700 V en courant alternatif</t>
  </si>
  <si>
    <t>500 V en courant alternatif</t>
  </si>
  <si>
    <t>50 V en courant alternatif</t>
  </si>
  <si>
    <t>25 V en courant continu</t>
  </si>
  <si>
    <t>Qui délivre l’habilitation électrique ?</t>
  </si>
  <si>
    <t>L’employeur</t>
  </si>
  <si>
    <t>Le formateur</t>
  </si>
  <si>
    <t>Le chargé de travaux</t>
  </si>
  <si>
    <t>Qu’est-ce qu’une alarme restreinte ?</t>
  </si>
  <si>
    <t>C’est un signal sonore qui alerte une partie du personnel pour évacuer</t>
  </si>
  <si>
    <t>C’est un signal visuel et sonore qui informe le PC pour effectuer une levée de doute</t>
  </si>
  <si>
    <t>C’est un signal sonore qui alerte l’ensemble des occupants pour évacuer</t>
  </si>
  <si>
    <t>C’est un signal horizontal et vertical qui guide les occupants vers la sortie</t>
  </si>
  <si>
    <t>Dans une usine en activité, suite à un incendie, une évacuation générale es déclenchée, les pompiers arrivent, agent au PC, que faites-vous en priorité ?</t>
  </si>
  <si>
    <t>Je remets les plans d’évacuation parfaitement à jour aux pompiers qui savent où aller</t>
  </si>
  <si>
    <t>Je vérifie rapidement les cartes professionnelles des pompiers</t>
  </si>
  <si>
    <t>Je dépêche un agent pour les accueillir et les guider</t>
  </si>
  <si>
    <t>Je demande aux agents d’utiliser les extincteurs pour maîtriser l’incendie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</si>
</sst>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</cellXfs>
  <cellStyles count="2">
    <cellStyle name="Normal" xfId="0" builtinId="0"/>
    <cellStyle name="Normal 2" xfId="1" xr:uid="{739EAF5D-6DEC-4933-BEAA-58326FF9FE6A}"/>
  </cellStyles>
  <dxfs count="15"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</dxfs>
  <tableStyles count="0" defaultTableStyle="TableStyleMedium9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187"/>
  <sheetViews>
    <sheetView tabSelected="1" topLeftCell="A159" workbookViewId="0">
      <selection activeCell="J184" sqref="J184"/>
    </sheetView>
  </sheetViews>
  <sheetFormatPr baseColWidth="10" defaultColWidth="9.140625" defaultRowHeight="15" x14ac:dyDescent="0.25"/>
  <cols>
    <col min="1" max="1" width="6.28515625" style="9" customWidth="1"/>
    <col min="2" max="2" width="9.140625" style="9"/>
    <col min="3" max="3" width="59.28515625" style="2" customWidth="1"/>
    <col min="4" max="9" width="26.710937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ht="3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11" t="s">
        <v>112</v>
      </c>
      <c r="F36" s="11" t="s">
        <v>113</v>
      </c>
      <c r="G36" s="11" t="s">
        <v>114</v>
      </c>
      <c r="H36" s="11" t="s">
        <v>92</v>
      </c>
      <c r="I36" s="11" t="s">
        <v>119</v>
      </c>
      <c r="J36" s="10" t="s">
        <v>23</v>
      </c>
    </row>
    <row r="37" spans="1:10" ht="3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11" t="s">
        <v>233</v>
      </c>
      <c r="F37" s="11" t="s">
        <v>234</v>
      </c>
      <c r="G37" s="11" t="s">
        <v>235</v>
      </c>
      <c r="H37" s="11" t="s">
        <v>93</v>
      </c>
      <c r="I37" s="11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783</v>
      </c>
      <c r="D85" s="2" t="s">
        <v>572</v>
      </c>
      <c r="E85" s="2" t="s">
        <v>573</v>
      </c>
      <c r="F85" s="2" t="s">
        <v>574</v>
      </c>
      <c r="G85" s="2" t="s">
        <v>575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576</v>
      </c>
      <c r="D86" s="2" t="s">
        <v>577</v>
      </c>
      <c r="E86" s="2" t="s">
        <v>578</v>
      </c>
      <c r="F86" s="2" t="s">
        <v>579</v>
      </c>
      <c r="G86" s="2" t="s">
        <v>580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581</v>
      </c>
      <c r="D87" s="2" t="s">
        <v>582</v>
      </c>
      <c r="E87" s="2" t="s">
        <v>583</v>
      </c>
      <c r="F87" s="2" t="s">
        <v>584</v>
      </c>
      <c r="G87" s="2" t="s">
        <v>585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586</v>
      </c>
      <c r="D88" s="2" t="s">
        <v>587</v>
      </c>
      <c r="E88" s="2" t="s">
        <v>588</v>
      </c>
      <c r="F88" s="2" t="s">
        <v>589</v>
      </c>
      <c r="G88" s="2" t="s">
        <v>590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591</v>
      </c>
      <c r="D89" s="2" t="s">
        <v>592</v>
      </c>
      <c r="E89" s="2" t="s">
        <v>593</v>
      </c>
      <c r="F89" s="2" t="s">
        <v>594</v>
      </c>
      <c r="G89" s="2" t="s">
        <v>595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596</v>
      </c>
      <c r="D90" s="2" t="s">
        <v>597</v>
      </c>
      <c r="E90" s="2" t="s">
        <v>598</v>
      </c>
      <c r="F90" s="2" t="s">
        <v>599</v>
      </c>
      <c r="G90" s="2" t="s">
        <v>600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601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602</v>
      </c>
      <c r="D92" s="2" t="s">
        <v>603</v>
      </c>
      <c r="E92" s="2" t="s">
        <v>604</v>
      </c>
      <c r="F92" s="2" t="s">
        <v>605</v>
      </c>
      <c r="G92" s="2" t="s">
        <v>606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607</v>
      </c>
      <c r="D93" s="2" t="s">
        <v>608</v>
      </c>
      <c r="E93" s="2" t="s">
        <v>609</v>
      </c>
      <c r="F93" s="2" t="s">
        <v>610</v>
      </c>
      <c r="G93" s="2" t="s">
        <v>611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612</v>
      </c>
      <c r="D94" s="2" t="s">
        <v>433</v>
      </c>
      <c r="E94" s="2" t="s">
        <v>613</v>
      </c>
      <c r="F94" s="2" t="s">
        <v>434</v>
      </c>
      <c r="G94" s="2" t="s">
        <v>614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615</v>
      </c>
      <c r="D95" s="2" t="s">
        <v>616</v>
      </c>
      <c r="E95" s="2" t="s">
        <v>617</v>
      </c>
      <c r="F95" s="2" t="s">
        <v>618</v>
      </c>
      <c r="G95" s="2" t="s">
        <v>619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620</v>
      </c>
      <c r="D96" s="2" t="s">
        <v>621</v>
      </c>
      <c r="E96" s="2" t="s">
        <v>622</v>
      </c>
      <c r="F96" s="2" t="s">
        <v>623</v>
      </c>
      <c r="G96" s="2" t="s">
        <v>624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625</v>
      </c>
      <c r="D97" s="2" t="s">
        <v>626</v>
      </c>
      <c r="E97" s="2" t="s">
        <v>627</v>
      </c>
      <c r="F97" s="2" t="s">
        <v>628</v>
      </c>
      <c r="G97" s="2" t="s">
        <v>629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630</v>
      </c>
      <c r="D98" s="2" t="s">
        <v>631</v>
      </c>
      <c r="E98" s="2" t="s">
        <v>632</v>
      </c>
      <c r="F98" s="2" t="s">
        <v>633</v>
      </c>
      <c r="G98" s="2" t="s">
        <v>634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635</v>
      </c>
      <c r="D99" s="2" t="s">
        <v>636</v>
      </c>
      <c r="E99" s="2" t="s">
        <v>637</v>
      </c>
      <c r="F99" s="2" t="s">
        <v>638</v>
      </c>
      <c r="G99" s="2" t="s">
        <v>639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640</v>
      </c>
      <c r="D100" s="2" t="s">
        <v>641</v>
      </c>
      <c r="E100" s="2" t="s">
        <v>642</v>
      </c>
      <c r="F100" s="2" t="s">
        <v>643</v>
      </c>
      <c r="G100" s="2" t="s">
        <v>644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645</v>
      </c>
      <c r="D101" s="2" t="s">
        <v>433</v>
      </c>
      <c r="E101" s="2" t="s">
        <v>646</v>
      </c>
      <c r="F101" s="2" t="s">
        <v>647</v>
      </c>
      <c r="G101" s="2" t="s">
        <v>648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649</v>
      </c>
      <c r="D102" s="2" t="s">
        <v>650</v>
      </c>
      <c r="E102" s="2" t="s">
        <v>651</v>
      </c>
      <c r="F102" s="2" t="s">
        <v>652</v>
      </c>
      <c r="G102" s="2" t="s">
        <v>653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654</v>
      </c>
      <c r="D103" s="2" t="s">
        <v>655</v>
      </c>
      <c r="E103" s="2" t="s">
        <v>656</v>
      </c>
      <c r="F103" s="2" t="s">
        <v>657</v>
      </c>
      <c r="G103" s="2" t="s">
        <v>658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659</v>
      </c>
      <c r="D104" s="2" t="s">
        <v>660</v>
      </c>
      <c r="E104" s="2" t="s">
        <v>661</v>
      </c>
      <c r="F104" s="2" t="s">
        <v>662</v>
      </c>
      <c r="G104" s="2" t="s">
        <v>663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664</v>
      </c>
      <c r="D105" s="2" t="s">
        <v>627</v>
      </c>
      <c r="E105" s="2" t="s">
        <v>628</v>
      </c>
      <c r="F105" s="2" t="s">
        <v>665</v>
      </c>
      <c r="G105" s="2" t="s">
        <v>666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667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668</v>
      </c>
      <c r="D107" s="2" t="s">
        <v>669</v>
      </c>
      <c r="E107" s="2" t="s">
        <v>670</v>
      </c>
      <c r="F107" s="2" t="s">
        <v>671</v>
      </c>
      <c r="G107" s="2" t="s">
        <v>672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673</v>
      </c>
      <c r="D108" s="2" t="s">
        <v>674</v>
      </c>
      <c r="E108" s="2" t="s">
        <v>675</v>
      </c>
      <c r="F108" s="2" t="s">
        <v>676</v>
      </c>
      <c r="G108" s="2" t="s">
        <v>677</v>
      </c>
      <c r="H108" s="2" t="s">
        <v>710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678</v>
      </c>
      <c r="D109" s="2" t="s">
        <v>433</v>
      </c>
      <c r="E109" s="2" t="s">
        <v>679</v>
      </c>
      <c r="F109" s="2" t="s">
        <v>647</v>
      </c>
      <c r="G109" s="2" t="s">
        <v>680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681</v>
      </c>
      <c r="D110" s="2" t="s">
        <v>682</v>
      </c>
      <c r="E110" s="2" t="s">
        <v>632</v>
      </c>
      <c r="F110" s="2" t="s">
        <v>633</v>
      </c>
      <c r="G110" s="2" t="s">
        <v>634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683</v>
      </c>
      <c r="D111" s="2" t="s">
        <v>684</v>
      </c>
      <c r="E111" s="2" t="s">
        <v>685</v>
      </c>
      <c r="F111" s="2" t="s">
        <v>686</v>
      </c>
      <c r="G111" s="2" t="s">
        <v>687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688</v>
      </c>
      <c r="D112" s="2" t="s">
        <v>689</v>
      </c>
      <c r="E112" s="2" t="s">
        <v>690</v>
      </c>
      <c r="F112" s="2" t="s">
        <v>691</v>
      </c>
      <c r="G112" s="2" t="s">
        <v>692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693</v>
      </c>
      <c r="D113" s="2" t="s">
        <v>694</v>
      </c>
      <c r="E113" s="2" t="s">
        <v>695</v>
      </c>
      <c r="F113" s="2" t="s">
        <v>696</v>
      </c>
      <c r="G113" s="2" t="s">
        <v>697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712</v>
      </c>
      <c r="C114" s="2" t="s">
        <v>698</v>
      </c>
      <c r="D114" s="2" t="s">
        <v>699</v>
      </c>
      <c r="E114" s="2" t="s">
        <v>700</v>
      </c>
      <c r="F114" s="2" t="s">
        <v>701</v>
      </c>
      <c r="G114" s="2" t="s">
        <v>702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713</v>
      </c>
      <c r="C115" s="2" t="s">
        <v>703</v>
      </c>
      <c r="D115" s="2" t="s">
        <v>669</v>
      </c>
      <c r="E115" s="2" t="s">
        <v>670</v>
      </c>
      <c r="F115" s="2" t="s">
        <v>704</v>
      </c>
      <c r="G115" s="2" t="s">
        <v>672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714</v>
      </c>
      <c r="C116" s="2" t="s">
        <v>705</v>
      </c>
      <c r="D116" s="2" t="s">
        <v>706</v>
      </c>
      <c r="E116" s="2" t="s">
        <v>707</v>
      </c>
      <c r="F116" s="2" t="s">
        <v>708</v>
      </c>
      <c r="G116" s="2" t="s">
        <v>709</v>
      </c>
      <c r="H116" s="2" t="s">
        <v>711</v>
      </c>
      <c r="J116" s="10" t="s">
        <v>18</v>
      </c>
    </row>
    <row r="117" spans="1:10" x14ac:dyDescent="0.25">
      <c r="A117" s="9" t="s">
        <v>248</v>
      </c>
      <c r="B117" s="9" t="s">
        <v>992</v>
      </c>
      <c r="C117" s="2" t="s">
        <v>954</v>
      </c>
      <c r="D117" s="2" t="s">
        <v>554</v>
      </c>
      <c r="E117" s="2" t="s">
        <v>955</v>
      </c>
      <c r="F117" s="2" t="s">
        <v>556</v>
      </c>
      <c r="G117" s="2" t="s">
        <v>555</v>
      </c>
      <c r="H117" s="2" t="s">
        <v>541</v>
      </c>
      <c r="J117" s="10" t="s">
        <v>12</v>
      </c>
    </row>
    <row r="118" spans="1:10" x14ac:dyDescent="0.25">
      <c r="A118" s="9" t="s">
        <v>248</v>
      </c>
      <c r="B118" s="9" t="s">
        <v>993</v>
      </c>
      <c r="C118" s="2" t="s">
        <v>956</v>
      </c>
      <c r="D118" s="2" t="s">
        <v>957</v>
      </c>
      <c r="E118" s="2" t="s">
        <v>958</v>
      </c>
      <c r="F118" s="2" t="s">
        <v>959</v>
      </c>
      <c r="G118" s="2" t="s">
        <v>960</v>
      </c>
      <c r="H118" s="2" t="s">
        <v>541</v>
      </c>
      <c r="J118" s="10" t="s">
        <v>18</v>
      </c>
    </row>
    <row r="119" spans="1:10" x14ac:dyDescent="0.25">
      <c r="A119" s="9" t="s">
        <v>248</v>
      </c>
      <c r="B119" s="9" t="s">
        <v>994</v>
      </c>
      <c r="C119" s="2" t="s">
        <v>961</v>
      </c>
      <c r="D119" s="2" t="s">
        <v>962</v>
      </c>
      <c r="E119" s="2" t="s">
        <v>963</v>
      </c>
      <c r="F119" s="2" t="s">
        <v>964</v>
      </c>
      <c r="G119" s="2" t="s">
        <v>541</v>
      </c>
      <c r="J119" s="10" t="s">
        <v>14</v>
      </c>
    </row>
    <row r="120" spans="1:10" x14ac:dyDescent="0.25">
      <c r="A120" s="9" t="s">
        <v>248</v>
      </c>
      <c r="B120" s="9" t="s">
        <v>995</v>
      </c>
      <c r="C120" s="2" t="s">
        <v>965</v>
      </c>
      <c r="D120" s="2" t="s">
        <v>966</v>
      </c>
      <c r="E120" s="2" t="s">
        <v>534</v>
      </c>
      <c r="F120" s="2" t="s">
        <v>660</v>
      </c>
      <c r="G120" s="2" t="s">
        <v>541</v>
      </c>
      <c r="J120" s="10" t="s">
        <v>21</v>
      </c>
    </row>
    <row r="121" spans="1:10" x14ac:dyDescent="0.25">
      <c r="A121" s="9" t="s">
        <v>248</v>
      </c>
      <c r="B121" s="9" t="s">
        <v>996</v>
      </c>
      <c r="C121" s="2" t="s">
        <v>967</v>
      </c>
      <c r="D121" s="2" t="s">
        <v>563</v>
      </c>
      <c r="E121" s="2" t="s">
        <v>564</v>
      </c>
      <c r="F121" s="2" t="s">
        <v>968</v>
      </c>
      <c r="G121" s="2" t="s">
        <v>541</v>
      </c>
      <c r="J121" s="10" t="s">
        <v>14</v>
      </c>
    </row>
    <row r="122" spans="1:10" x14ac:dyDescent="0.25">
      <c r="A122" s="9" t="s">
        <v>248</v>
      </c>
      <c r="B122" s="9" t="s">
        <v>997</v>
      </c>
      <c r="C122" s="2" t="s">
        <v>969</v>
      </c>
      <c r="D122" s="2" t="s">
        <v>970</v>
      </c>
      <c r="E122" s="2" t="s">
        <v>971</v>
      </c>
      <c r="F122" s="2" t="s">
        <v>972</v>
      </c>
      <c r="G122" s="2" t="s">
        <v>541</v>
      </c>
      <c r="J122" s="10" t="s">
        <v>18</v>
      </c>
    </row>
    <row r="123" spans="1:10" x14ac:dyDescent="0.25">
      <c r="A123" s="9" t="s">
        <v>248</v>
      </c>
      <c r="B123" s="9" t="s">
        <v>998</v>
      </c>
      <c r="C123" s="2" t="s">
        <v>973</v>
      </c>
      <c r="D123" s="2" t="s">
        <v>974</v>
      </c>
      <c r="E123" s="2" t="s">
        <v>975</v>
      </c>
      <c r="F123" s="2" t="s">
        <v>976</v>
      </c>
      <c r="G123" s="2" t="s">
        <v>977</v>
      </c>
      <c r="H123" s="2" t="s">
        <v>541</v>
      </c>
      <c r="J123" s="10" t="s">
        <v>12</v>
      </c>
    </row>
    <row r="124" spans="1:10" x14ac:dyDescent="0.25">
      <c r="A124" s="9" t="s">
        <v>248</v>
      </c>
      <c r="B124" s="9" t="s">
        <v>999</v>
      </c>
      <c r="C124" s="2" t="s">
        <v>978</v>
      </c>
      <c r="D124" s="2" t="s">
        <v>979</v>
      </c>
      <c r="E124" s="2" t="s">
        <v>980</v>
      </c>
      <c r="F124" s="2" t="s">
        <v>981</v>
      </c>
      <c r="G124" s="2" t="s">
        <v>982</v>
      </c>
      <c r="H124" s="2" t="s">
        <v>541</v>
      </c>
      <c r="J124" s="10" t="s">
        <v>14</v>
      </c>
    </row>
    <row r="125" spans="1:10" x14ac:dyDescent="0.25">
      <c r="A125" s="9" t="s">
        <v>248</v>
      </c>
      <c r="B125" s="9" t="s">
        <v>1000</v>
      </c>
      <c r="C125" s="2" t="s">
        <v>983</v>
      </c>
      <c r="D125" s="2" t="s">
        <v>984</v>
      </c>
      <c r="E125" s="2" t="s">
        <v>985</v>
      </c>
      <c r="F125" s="2" t="s">
        <v>986</v>
      </c>
      <c r="G125" s="2" t="s">
        <v>541</v>
      </c>
      <c r="J125" s="10" t="s">
        <v>14</v>
      </c>
    </row>
    <row r="126" spans="1:10" x14ac:dyDescent="0.25">
      <c r="A126" s="9" t="s">
        <v>248</v>
      </c>
      <c r="B126" s="9" t="s">
        <v>1001</v>
      </c>
      <c r="C126" s="2" t="s">
        <v>987</v>
      </c>
      <c r="D126" s="2" t="s">
        <v>988</v>
      </c>
      <c r="E126" s="2" t="s">
        <v>989</v>
      </c>
      <c r="F126" s="2" t="s">
        <v>990</v>
      </c>
      <c r="G126" s="2" t="s">
        <v>991</v>
      </c>
      <c r="H126" s="2" t="s">
        <v>541</v>
      </c>
      <c r="J126" s="10" t="s">
        <v>21</v>
      </c>
    </row>
    <row r="127" spans="1:10" x14ac:dyDescent="0.25">
      <c r="A127" s="9" t="s">
        <v>256</v>
      </c>
      <c r="B127" s="9" t="s">
        <v>11</v>
      </c>
      <c r="C127" s="2" t="s">
        <v>723</v>
      </c>
      <c r="D127" s="2" t="s">
        <v>724</v>
      </c>
      <c r="E127" s="2" t="s">
        <v>725</v>
      </c>
      <c r="F127" s="2" t="s">
        <v>726</v>
      </c>
      <c r="G127" s="2" t="s">
        <v>727</v>
      </c>
      <c r="H127" s="2" t="s">
        <v>90</v>
      </c>
      <c r="J127" s="10" t="s">
        <v>21</v>
      </c>
    </row>
    <row r="128" spans="1:10" x14ac:dyDescent="0.25">
      <c r="A128" s="9" t="s">
        <v>256</v>
      </c>
      <c r="B128" s="9" t="s">
        <v>13</v>
      </c>
      <c r="C128" s="2" t="s">
        <v>728</v>
      </c>
      <c r="D128" s="2" t="s">
        <v>729</v>
      </c>
      <c r="E128" s="2" t="s">
        <v>730</v>
      </c>
      <c r="F128" s="2" t="s">
        <v>731</v>
      </c>
      <c r="G128" s="2" t="s">
        <v>732</v>
      </c>
      <c r="H128" s="2" t="s">
        <v>90</v>
      </c>
      <c r="J128" s="10" t="s">
        <v>18</v>
      </c>
    </row>
    <row r="129" spans="1:10" x14ac:dyDescent="0.25">
      <c r="A129" s="9" t="s">
        <v>256</v>
      </c>
      <c r="B129" s="9" t="s">
        <v>15</v>
      </c>
      <c r="C129" s="2" t="s">
        <v>733</v>
      </c>
      <c r="D129" s="2" t="s">
        <v>734</v>
      </c>
      <c r="E129" s="2" t="s">
        <v>735</v>
      </c>
      <c r="F129" s="2" t="s">
        <v>736</v>
      </c>
      <c r="G129" s="2" t="s">
        <v>737</v>
      </c>
      <c r="H129" s="2" t="s">
        <v>90</v>
      </c>
      <c r="J129" s="10" t="s">
        <v>14</v>
      </c>
    </row>
    <row r="130" spans="1:10" x14ac:dyDescent="0.25">
      <c r="A130" s="9" t="s">
        <v>256</v>
      </c>
      <c r="B130" s="9" t="s">
        <v>16</v>
      </c>
      <c r="C130" s="2" t="s">
        <v>738</v>
      </c>
      <c r="D130" s="2" t="s">
        <v>739</v>
      </c>
      <c r="E130" s="2" t="s">
        <v>740</v>
      </c>
      <c r="F130" s="2" t="s">
        <v>741</v>
      </c>
      <c r="G130" s="2" t="s">
        <v>742</v>
      </c>
      <c r="H130" s="2" t="s">
        <v>90</v>
      </c>
      <c r="J130" s="10" t="s">
        <v>12</v>
      </c>
    </row>
    <row r="131" spans="1:10" x14ac:dyDescent="0.25">
      <c r="A131" s="9" t="s">
        <v>256</v>
      </c>
      <c r="B131" s="9" t="s">
        <v>17</v>
      </c>
      <c r="C131" s="2" t="s">
        <v>743</v>
      </c>
      <c r="D131" s="2" t="s">
        <v>744</v>
      </c>
      <c r="E131" s="2" t="s">
        <v>745</v>
      </c>
      <c r="F131" s="2" t="s">
        <v>746</v>
      </c>
      <c r="G131" s="2" t="s">
        <v>747</v>
      </c>
      <c r="H131" s="2" t="s">
        <v>90</v>
      </c>
      <c r="J131" s="10" t="s">
        <v>21</v>
      </c>
    </row>
    <row r="132" spans="1:10" x14ac:dyDescent="0.25">
      <c r="A132" s="9" t="s">
        <v>256</v>
      </c>
      <c r="B132" s="9" t="s">
        <v>19</v>
      </c>
      <c r="C132" s="2" t="s">
        <v>748</v>
      </c>
      <c r="D132" s="2" t="s">
        <v>749</v>
      </c>
      <c r="E132" s="2" t="s">
        <v>750</v>
      </c>
      <c r="F132" s="2" t="s">
        <v>751</v>
      </c>
      <c r="G132" s="2" t="s">
        <v>752</v>
      </c>
      <c r="H132" s="2" t="s">
        <v>90</v>
      </c>
      <c r="J132" s="10" t="s">
        <v>12</v>
      </c>
    </row>
    <row r="133" spans="1:10" x14ac:dyDescent="0.25">
      <c r="A133" s="9" t="s">
        <v>256</v>
      </c>
      <c r="B133" s="9" t="s">
        <v>20</v>
      </c>
      <c r="C133" s="2" t="s">
        <v>753</v>
      </c>
      <c r="D133" s="2" t="s">
        <v>754</v>
      </c>
      <c r="E133" s="2" t="s">
        <v>755</v>
      </c>
      <c r="F133" s="2" t="s">
        <v>756</v>
      </c>
      <c r="G133" s="2" t="s">
        <v>757</v>
      </c>
      <c r="H133" s="2" t="s">
        <v>90</v>
      </c>
      <c r="J133" s="10" t="s">
        <v>18</v>
      </c>
    </row>
    <row r="134" spans="1:10" x14ac:dyDescent="0.25">
      <c r="A134" s="9" t="s">
        <v>256</v>
      </c>
      <c r="B134" s="9" t="s">
        <v>22</v>
      </c>
      <c r="C134" s="2" t="s">
        <v>758</v>
      </c>
      <c r="D134" s="2" t="s">
        <v>759</v>
      </c>
      <c r="E134" s="2" t="s">
        <v>760</v>
      </c>
      <c r="F134" s="2" t="s">
        <v>761</v>
      </c>
      <c r="G134" s="2" t="s">
        <v>762</v>
      </c>
      <c r="H134" s="2" t="s">
        <v>90</v>
      </c>
      <c r="J134" s="10" t="s">
        <v>14</v>
      </c>
    </row>
    <row r="135" spans="1:10" x14ac:dyDescent="0.25">
      <c r="A135" s="9" t="s">
        <v>258</v>
      </c>
      <c r="B135" s="9" t="s">
        <v>11</v>
      </c>
      <c r="C135" s="2" t="s">
        <v>784</v>
      </c>
      <c r="D135" s="2" t="s">
        <v>785</v>
      </c>
      <c r="E135" s="2" t="s">
        <v>786</v>
      </c>
      <c r="F135" s="2" t="s">
        <v>787</v>
      </c>
      <c r="G135" s="2" t="s">
        <v>788</v>
      </c>
      <c r="H135" s="2" t="s">
        <v>90</v>
      </c>
      <c r="J135" s="10" t="s">
        <v>21</v>
      </c>
    </row>
    <row r="136" spans="1:10" x14ac:dyDescent="0.25">
      <c r="A136" s="9" t="s">
        <v>258</v>
      </c>
      <c r="B136" s="9" t="s">
        <v>13</v>
      </c>
      <c r="C136" s="2" t="s">
        <v>789</v>
      </c>
      <c r="D136" s="2" t="s">
        <v>790</v>
      </c>
      <c r="E136" s="2" t="s">
        <v>791</v>
      </c>
      <c r="F136" s="2" t="s">
        <v>792</v>
      </c>
      <c r="G136" s="2" t="s">
        <v>793</v>
      </c>
      <c r="H136" s="2" t="s">
        <v>90</v>
      </c>
      <c r="J136" s="10" t="s">
        <v>12</v>
      </c>
    </row>
    <row r="137" spans="1:10" x14ac:dyDescent="0.25">
      <c r="A137" s="9" t="s">
        <v>258</v>
      </c>
      <c r="B137" s="9" t="s">
        <v>15</v>
      </c>
      <c r="C137" s="2" t="s">
        <v>794</v>
      </c>
      <c r="D137" s="2" t="s">
        <v>795</v>
      </c>
      <c r="E137" s="2" t="s">
        <v>796</v>
      </c>
      <c r="F137" s="2" t="s">
        <v>797</v>
      </c>
      <c r="G137" s="2" t="s">
        <v>798</v>
      </c>
      <c r="H137" s="2" t="s">
        <v>90</v>
      </c>
      <c r="J137" s="10" t="s">
        <v>12</v>
      </c>
    </row>
    <row r="138" spans="1:10" x14ac:dyDescent="0.25">
      <c r="A138" s="9" t="s">
        <v>258</v>
      </c>
      <c r="B138" s="9" t="s">
        <v>16</v>
      </c>
      <c r="C138" s="2" t="s">
        <v>799</v>
      </c>
      <c r="D138" s="2" t="s">
        <v>800</v>
      </c>
      <c r="E138" s="2" t="s">
        <v>801</v>
      </c>
      <c r="F138" s="2" t="s">
        <v>802</v>
      </c>
      <c r="G138" s="2" t="s">
        <v>803</v>
      </c>
      <c r="H138" s="2" t="s">
        <v>90</v>
      </c>
      <c r="J138" s="10" t="s">
        <v>14</v>
      </c>
    </row>
    <row r="139" spans="1:10" x14ac:dyDescent="0.25">
      <c r="A139" s="9" t="s">
        <v>258</v>
      </c>
      <c r="B139" s="9" t="s">
        <v>17</v>
      </c>
      <c r="C139" s="2" t="s">
        <v>804</v>
      </c>
      <c r="D139" s="2" t="s">
        <v>805</v>
      </c>
      <c r="E139" s="2" t="s">
        <v>806</v>
      </c>
      <c r="F139" s="2" t="s">
        <v>807</v>
      </c>
      <c r="G139" s="2" t="s">
        <v>808</v>
      </c>
      <c r="H139" s="2" t="s">
        <v>90</v>
      </c>
      <c r="J139" s="10" t="s">
        <v>14</v>
      </c>
    </row>
    <row r="140" spans="1:10" x14ac:dyDescent="0.25">
      <c r="A140" s="9" t="s">
        <v>258</v>
      </c>
      <c r="B140" s="9" t="s">
        <v>19</v>
      </c>
      <c r="C140" s="2" t="s">
        <v>809</v>
      </c>
      <c r="D140" s="2" t="s">
        <v>810</v>
      </c>
      <c r="E140" s="2" t="s">
        <v>811</v>
      </c>
      <c r="F140" s="2" t="s">
        <v>812</v>
      </c>
      <c r="G140" s="2" t="s">
        <v>813</v>
      </c>
      <c r="H140" s="2" t="s">
        <v>90</v>
      </c>
      <c r="J140" s="10" t="s">
        <v>18</v>
      </c>
    </row>
    <row r="141" spans="1:10" x14ac:dyDescent="0.25">
      <c r="A141" s="9" t="s">
        <v>258</v>
      </c>
      <c r="B141" s="9" t="s">
        <v>20</v>
      </c>
      <c r="C141" s="2" t="s">
        <v>814</v>
      </c>
      <c r="D141" s="2" t="s">
        <v>815</v>
      </c>
      <c r="E141" s="2" t="s">
        <v>816</v>
      </c>
      <c r="F141" s="2" t="s">
        <v>817</v>
      </c>
      <c r="G141" s="2" t="s">
        <v>818</v>
      </c>
      <c r="H141" s="2" t="s">
        <v>90</v>
      </c>
      <c r="J141" s="10" t="s">
        <v>18</v>
      </c>
    </row>
    <row r="142" spans="1:10" x14ac:dyDescent="0.25">
      <c r="A142" s="9" t="s">
        <v>258</v>
      </c>
      <c r="B142" s="9" t="s">
        <v>22</v>
      </c>
      <c r="C142" s="2" t="s">
        <v>819</v>
      </c>
      <c r="D142" s="2" t="s">
        <v>820</v>
      </c>
      <c r="E142" s="2" t="s">
        <v>821</v>
      </c>
      <c r="F142" s="2" t="s">
        <v>822</v>
      </c>
      <c r="G142" s="2" t="s">
        <v>823</v>
      </c>
      <c r="H142" s="2" t="s">
        <v>90</v>
      </c>
      <c r="J142" s="10" t="s">
        <v>12</v>
      </c>
    </row>
    <row r="143" spans="1:10" x14ac:dyDescent="0.25">
      <c r="A143" s="9" t="s">
        <v>258</v>
      </c>
      <c r="B143" s="9" t="s">
        <v>24</v>
      </c>
      <c r="C143" s="2" t="s">
        <v>824</v>
      </c>
      <c r="D143" s="2" t="s">
        <v>825</v>
      </c>
      <c r="E143" s="2" t="s">
        <v>826</v>
      </c>
      <c r="F143" s="2" t="s">
        <v>827</v>
      </c>
      <c r="G143" s="2" t="s">
        <v>828</v>
      </c>
      <c r="H143" s="2" t="s">
        <v>90</v>
      </c>
      <c r="J143" s="10" t="s">
        <v>14</v>
      </c>
    </row>
    <row r="144" spans="1:10" x14ac:dyDescent="0.25">
      <c r="A144" s="9" t="s">
        <v>258</v>
      </c>
      <c r="B144" s="9" t="s">
        <v>25</v>
      </c>
      <c r="C144" s="2" t="s">
        <v>829</v>
      </c>
      <c r="D144" s="2" t="s">
        <v>830</v>
      </c>
      <c r="E144" s="2" t="s">
        <v>831</v>
      </c>
      <c r="F144" s="2" t="s">
        <v>832</v>
      </c>
      <c r="G144" s="2" t="s">
        <v>833</v>
      </c>
      <c r="H144" s="2" t="s">
        <v>377</v>
      </c>
      <c r="J144" s="10" t="s">
        <v>23</v>
      </c>
    </row>
    <row r="145" spans="1:10" x14ac:dyDescent="0.25">
      <c r="A145" s="9" t="s">
        <v>258</v>
      </c>
      <c r="B145" s="9" t="s">
        <v>26</v>
      </c>
      <c r="C145" s="2" t="s">
        <v>834</v>
      </c>
      <c r="D145" s="2" t="s">
        <v>835</v>
      </c>
      <c r="E145" s="2" t="s">
        <v>836</v>
      </c>
      <c r="F145" s="2" t="s">
        <v>837</v>
      </c>
      <c r="G145" s="2" t="s">
        <v>838</v>
      </c>
      <c r="H145" s="2" t="s">
        <v>90</v>
      </c>
      <c r="J145" s="10" t="s">
        <v>21</v>
      </c>
    </row>
    <row r="146" spans="1:10" x14ac:dyDescent="0.25">
      <c r="A146" s="9" t="s">
        <v>258</v>
      </c>
      <c r="B146" s="9" t="s">
        <v>27</v>
      </c>
      <c r="C146" s="2" t="s">
        <v>839</v>
      </c>
      <c r="D146" s="2" t="s">
        <v>840</v>
      </c>
      <c r="E146" s="2" t="s">
        <v>841</v>
      </c>
      <c r="F146" s="2" t="s">
        <v>842</v>
      </c>
      <c r="G146" s="2" t="s">
        <v>843</v>
      </c>
      <c r="H146" s="2" t="s">
        <v>377</v>
      </c>
      <c r="J146" s="10" t="s">
        <v>23</v>
      </c>
    </row>
    <row r="147" spans="1:10" x14ac:dyDescent="0.25">
      <c r="A147" s="9" t="s">
        <v>258</v>
      </c>
      <c r="B147" s="9" t="s">
        <v>28</v>
      </c>
      <c r="C147" s="2" t="s">
        <v>844</v>
      </c>
      <c r="D147" s="2" t="s">
        <v>845</v>
      </c>
      <c r="E147" s="2" t="s">
        <v>846</v>
      </c>
      <c r="F147" s="2" t="s">
        <v>847</v>
      </c>
      <c r="G147" s="2" t="s">
        <v>848</v>
      </c>
      <c r="H147" s="2" t="s">
        <v>90</v>
      </c>
      <c r="J147" s="10" t="s">
        <v>21</v>
      </c>
    </row>
    <row r="148" spans="1:10" x14ac:dyDescent="0.25">
      <c r="A148" s="9" t="s">
        <v>258</v>
      </c>
      <c r="B148" s="9" t="s">
        <v>29</v>
      </c>
      <c r="C148" s="2" t="s">
        <v>849</v>
      </c>
      <c r="D148" s="2" t="s">
        <v>850</v>
      </c>
      <c r="E148" s="2" t="s">
        <v>851</v>
      </c>
      <c r="F148" s="2" t="s">
        <v>852</v>
      </c>
      <c r="G148" s="2" t="s">
        <v>853</v>
      </c>
      <c r="H148" s="2" t="s">
        <v>90</v>
      </c>
      <c r="J148" s="10" t="s">
        <v>21</v>
      </c>
    </row>
    <row r="149" spans="1:10" x14ac:dyDescent="0.25">
      <c r="A149" s="9" t="s">
        <v>258</v>
      </c>
      <c r="B149" s="9" t="s">
        <v>30</v>
      </c>
      <c r="C149" s="2" t="s">
        <v>854</v>
      </c>
      <c r="D149" s="2" t="s">
        <v>855</v>
      </c>
      <c r="E149" s="2" t="s">
        <v>856</v>
      </c>
      <c r="F149" s="2" t="s">
        <v>857</v>
      </c>
      <c r="G149" s="2" t="s">
        <v>858</v>
      </c>
      <c r="H149" s="2" t="s">
        <v>90</v>
      </c>
      <c r="J149" s="10" t="s">
        <v>21</v>
      </c>
    </row>
    <row r="150" spans="1:10" x14ac:dyDescent="0.25">
      <c r="A150" s="9" t="s">
        <v>258</v>
      </c>
      <c r="B150" s="9" t="s">
        <v>31</v>
      </c>
      <c r="C150" s="2" t="s">
        <v>859</v>
      </c>
      <c r="D150" s="2" t="s">
        <v>860</v>
      </c>
      <c r="E150" s="2" t="s">
        <v>861</v>
      </c>
      <c r="F150" s="2" t="s">
        <v>862</v>
      </c>
      <c r="G150" s="2" t="s">
        <v>863</v>
      </c>
      <c r="H150" s="2" t="s">
        <v>90</v>
      </c>
      <c r="J150" s="10" t="s">
        <v>18</v>
      </c>
    </row>
    <row r="151" spans="1:10" x14ac:dyDescent="0.25">
      <c r="A151" s="9" t="s">
        <v>258</v>
      </c>
      <c r="B151" s="9" t="s">
        <v>32</v>
      </c>
      <c r="C151" s="2" t="s">
        <v>864</v>
      </c>
      <c r="D151" s="2" t="s">
        <v>865</v>
      </c>
      <c r="E151" s="2" t="s">
        <v>866</v>
      </c>
      <c r="F151" s="2" t="s">
        <v>867</v>
      </c>
      <c r="G151" s="2" t="s">
        <v>868</v>
      </c>
      <c r="H151" s="2" t="s">
        <v>90</v>
      </c>
      <c r="J151" s="10" t="s">
        <v>18</v>
      </c>
    </row>
    <row r="152" spans="1:10" x14ac:dyDescent="0.25">
      <c r="A152" s="9" t="s">
        <v>258</v>
      </c>
      <c r="B152" s="9" t="s">
        <v>33</v>
      </c>
      <c r="C152" s="2" t="s">
        <v>869</v>
      </c>
      <c r="D152" s="2" t="s">
        <v>870</v>
      </c>
      <c r="E152" s="2" t="s">
        <v>871</v>
      </c>
      <c r="F152" s="2" t="s">
        <v>872</v>
      </c>
      <c r="G152" s="2" t="s">
        <v>873</v>
      </c>
      <c r="H152" s="2" t="s">
        <v>90</v>
      </c>
      <c r="J152" s="10" t="s">
        <v>14</v>
      </c>
    </row>
    <row r="153" spans="1:10" x14ac:dyDescent="0.25">
      <c r="A153" s="9" t="s">
        <v>258</v>
      </c>
      <c r="B153" s="9" t="s">
        <v>34</v>
      </c>
      <c r="C153" s="2" t="s">
        <v>874</v>
      </c>
      <c r="D153" s="2" t="s">
        <v>875</v>
      </c>
      <c r="E153" s="2" t="s">
        <v>876</v>
      </c>
      <c r="F153" s="2" t="s">
        <v>877</v>
      </c>
      <c r="G153" s="2" t="s">
        <v>878</v>
      </c>
      <c r="H153" s="2" t="s">
        <v>90</v>
      </c>
      <c r="J153" s="10" t="s">
        <v>12</v>
      </c>
    </row>
    <row r="154" spans="1:10" x14ac:dyDescent="0.25">
      <c r="A154" s="9" t="s">
        <v>258</v>
      </c>
      <c r="B154" s="9" t="s">
        <v>35</v>
      </c>
      <c r="C154" s="2" t="s">
        <v>879</v>
      </c>
      <c r="D154" s="2" t="s">
        <v>880</v>
      </c>
      <c r="E154" s="2" t="s">
        <v>881</v>
      </c>
      <c r="F154" s="2" t="s">
        <v>882</v>
      </c>
      <c r="G154" s="2" t="s">
        <v>883</v>
      </c>
      <c r="H154" s="2" t="s">
        <v>90</v>
      </c>
      <c r="J154" s="10" t="s">
        <v>14</v>
      </c>
    </row>
    <row r="155" spans="1:10" x14ac:dyDescent="0.25">
      <c r="A155" s="9" t="s">
        <v>262</v>
      </c>
      <c r="B155" s="9" t="s">
        <v>11</v>
      </c>
      <c r="C155" s="2" t="s">
        <v>894</v>
      </c>
      <c r="D155" s="2" t="s">
        <v>895</v>
      </c>
      <c r="E155" s="2" t="s">
        <v>896</v>
      </c>
      <c r="F155" s="2" t="s">
        <v>897</v>
      </c>
      <c r="G155" s="2" t="s">
        <v>898</v>
      </c>
      <c r="H155" s="2" t="s">
        <v>90</v>
      </c>
      <c r="J155" s="10" t="s">
        <v>23</v>
      </c>
    </row>
    <row r="156" spans="1:10" x14ac:dyDescent="0.25">
      <c r="A156" s="9" t="s">
        <v>262</v>
      </c>
      <c r="B156" s="9" t="s">
        <v>13</v>
      </c>
      <c r="C156" s="2" t="s">
        <v>899</v>
      </c>
      <c r="D156" s="2" t="s">
        <v>900</v>
      </c>
      <c r="E156" s="2" t="s">
        <v>901</v>
      </c>
      <c r="F156" s="2" t="s">
        <v>902</v>
      </c>
      <c r="G156" s="2" t="s">
        <v>903</v>
      </c>
      <c r="H156" s="2" t="s">
        <v>90</v>
      </c>
      <c r="J156" s="10" t="s">
        <v>21</v>
      </c>
    </row>
    <row r="157" spans="1:10" x14ac:dyDescent="0.25">
      <c r="A157" s="9" t="s">
        <v>262</v>
      </c>
      <c r="B157" s="9" t="s">
        <v>15</v>
      </c>
      <c r="C157" s="2" t="s">
        <v>904</v>
      </c>
      <c r="D157" s="2" t="s">
        <v>905</v>
      </c>
      <c r="E157" s="2" t="s">
        <v>906</v>
      </c>
      <c r="F157" s="2" t="s">
        <v>907</v>
      </c>
      <c r="G157" s="2" t="s">
        <v>908</v>
      </c>
      <c r="H157" s="2" t="s">
        <v>90</v>
      </c>
      <c r="J157" s="10" t="s">
        <v>21</v>
      </c>
    </row>
    <row r="158" spans="1:10" x14ac:dyDescent="0.25">
      <c r="A158" s="9" t="s">
        <v>262</v>
      </c>
      <c r="B158" s="9" t="s">
        <v>16</v>
      </c>
      <c r="C158" s="2" t="s">
        <v>909</v>
      </c>
      <c r="D158" s="2" t="s">
        <v>910</v>
      </c>
      <c r="E158" s="2" t="s">
        <v>911</v>
      </c>
      <c r="F158" s="2" t="s">
        <v>912</v>
      </c>
      <c r="G158" s="2" t="s">
        <v>913</v>
      </c>
      <c r="H158" s="2" t="s">
        <v>90</v>
      </c>
      <c r="J158" s="10" t="s">
        <v>12</v>
      </c>
    </row>
    <row r="159" spans="1:10" x14ac:dyDescent="0.25">
      <c r="A159" s="9" t="s">
        <v>262</v>
      </c>
      <c r="B159" s="9" t="s">
        <v>17</v>
      </c>
      <c r="C159" s="2" t="s">
        <v>914</v>
      </c>
      <c r="D159" s="2" t="s">
        <v>915</v>
      </c>
      <c r="E159" s="2" t="s">
        <v>916</v>
      </c>
      <c r="F159" s="2" t="s">
        <v>917</v>
      </c>
      <c r="G159" s="2" t="s">
        <v>918</v>
      </c>
      <c r="H159" s="2" t="s">
        <v>90</v>
      </c>
      <c r="J159" s="10" t="s">
        <v>18</v>
      </c>
    </row>
    <row r="160" spans="1:10" x14ac:dyDescent="0.25">
      <c r="A160" s="9" t="s">
        <v>262</v>
      </c>
      <c r="B160" s="9" t="s">
        <v>19</v>
      </c>
      <c r="C160" s="2" t="s">
        <v>919</v>
      </c>
      <c r="D160" s="2" t="s">
        <v>920</v>
      </c>
      <c r="E160" s="2" t="s">
        <v>921</v>
      </c>
      <c r="F160" s="2" t="s">
        <v>922</v>
      </c>
      <c r="G160" s="2" t="s">
        <v>923</v>
      </c>
      <c r="H160" s="2" t="s">
        <v>90</v>
      </c>
      <c r="J160" s="10" t="s">
        <v>12</v>
      </c>
    </row>
    <row r="161" spans="1:10" x14ac:dyDescent="0.25">
      <c r="A161" s="9" t="s">
        <v>262</v>
      </c>
      <c r="B161" s="9" t="s">
        <v>20</v>
      </c>
      <c r="C161" s="2" t="s">
        <v>924</v>
      </c>
      <c r="D161" s="2" t="s">
        <v>925</v>
      </c>
      <c r="E161" s="2" t="s">
        <v>926</v>
      </c>
      <c r="F161" s="2" t="s">
        <v>927</v>
      </c>
      <c r="G161" s="2" t="s">
        <v>928</v>
      </c>
      <c r="H161" s="2" t="s">
        <v>90</v>
      </c>
      <c r="J161" s="10" t="s">
        <v>18</v>
      </c>
    </row>
    <row r="162" spans="1:10" x14ac:dyDescent="0.25">
      <c r="A162" s="9" t="s">
        <v>262</v>
      </c>
      <c r="B162" s="9" t="s">
        <v>22</v>
      </c>
      <c r="C162" s="2" t="s">
        <v>929</v>
      </c>
      <c r="D162" s="2" t="s">
        <v>930</v>
      </c>
      <c r="E162" s="2" t="s">
        <v>931</v>
      </c>
      <c r="F162" s="2" t="s">
        <v>932</v>
      </c>
      <c r="G162" s="2" t="s">
        <v>933</v>
      </c>
      <c r="H162" s="2" t="s">
        <v>90</v>
      </c>
      <c r="J162" s="10" t="s">
        <v>14</v>
      </c>
    </row>
    <row r="163" spans="1:10" x14ac:dyDescent="0.25">
      <c r="A163" s="9" t="s">
        <v>262</v>
      </c>
      <c r="B163" s="9" t="s">
        <v>24</v>
      </c>
      <c r="C163" s="2" t="s">
        <v>934</v>
      </c>
      <c r="D163" s="2" t="s">
        <v>935</v>
      </c>
      <c r="E163" s="2" t="s">
        <v>936</v>
      </c>
      <c r="F163" s="2" t="s">
        <v>937</v>
      </c>
      <c r="G163" s="2" t="s">
        <v>938</v>
      </c>
      <c r="H163" s="2" t="s">
        <v>91</v>
      </c>
      <c r="J163" s="10" t="s">
        <v>23</v>
      </c>
    </row>
    <row r="164" spans="1:10" x14ac:dyDescent="0.25">
      <c r="A164" s="9" t="s">
        <v>262</v>
      </c>
      <c r="B164" s="9" t="s">
        <v>25</v>
      </c>
      <c r="C164" s="2" t="s">
        <v>939</v>
      </c>
      <c r="D164" s="2" t="s">
        <v>940</v>
      </c>
      <c r="E164" s="2" t="s">
        <v>941</v>
      </c>
      <c r="F164" s="2" t="s">
        <v>942</v>
      </c>
      <c r="G164" s="2" t="s">
        <v>943</v>
      </c>
      <c r="H164" s="2" t="s">
        <v>90</v>
      </c>
      <c r="J164" s="10" t="s">
        <v>21</v>
      </c>
    </row>
    <row r="165" spans="1:10" x14ac:dyDescent="0.25">
      <c r="A165" s="9" t="s">
        <v>260</v>
      </c>
      <c r="B165" s="9" t="s">
        <v>11</v>
      </c>
      <c r="C165" s="2" t="s">
        <v>1025</v>
      </c>
      <c r="D165" s="2" t="s">
        <v>1026</v>
      </c>
      <c r="E165" s="2" t="s">
        <v>1027</v>
      </c>
      <c r="F165" s="2" t="s">
        <v>1028</v>
      </c>
      <c r="G165" s="2" t="s">
        <v>1029</v>
      </c>
      <c r="H165" s="2" t="s">
        <v>541</v>
      </c>
      <c r="J165" s="10" t="s">
        <v>12</v>
      </c>
    </row>
    <row r="166" spans="1:10" x14ac:dyDescent="0.25">
      <c r="A166" s="9" t="s">
        <v>260</v>
      </c>
      <c r="B166" s="9" t="s">
        <v>13</v>
      </c>
      <c r="C166" s="2" t="s">
        <v>1030</v>
      </c>
      <c r="D166" s="2" t="s">
        <v>1031</v>
      </c>
      <c r="E166" s="2" t="s">
        <v>541</v>
      </c>
      <c r="F166" s="2" t="s">
        <v>1032</v>
      </c>
      <c r="G166" s="2" t="s">
        <v>1033</v>
      </c>
      <c r="H166" s="2" t="s">
        <v>541</v>
      </c>
      <c r="J166" s="10" t="s">
        <v>18</v>
      </c>
    </row>
    <row r="167" spans="1:10" x14ac:dyDescent="0.25">
      <c r="A167" s="9" t="s">
        <v>260</v>
      </c>
      <c r="B167" s="9" t="s">
        <v>15</v>
      </c>
      <c r="C167" s="2" t="s">
        <v>1034</v>
      </c>
      <c r="D167" s="2" t="s">
        <v>1035</v>
      </c>
      <c r="E167" s="2" t="s">
        <v>1036</v>
      </c>
      <c r="F167" s="2" t="s">
        <v>1037</v>
      </c>
      <c r="G167" s="2" t="s">
        <v>1038</v>
      </c>
      <c r="H167" s="2" t="s">
        <v>541</v>
      </c>
      <c r="J167" s="10" t="s">
        <v>18</v>
      </c>
    </row>
    <row r="168" spans="1:10" x14ac:dyDescent="0.25">
      <c r="A168" s="9" t="s">
        <v>260</v>
      </c>
      <c r="B168" s="9" t="s">
        <v>16</v>
      </c>
      <c r="C168" s="2" t="s">
        <v>1039</v>
      </c>
      <c r="D168" s="2" t="s">
        <v>1040</v>
      </c>
      <c r="E168" s="2" t="s">
        <v>1041</v>
      </c>
      <c r="F168" s="2" t="s">
        <v>1042</v>
      </c>
      <c r="G168" s="2" t="s">
        <v>541</v>
      </c>
      <c r="J168" s="10" t="s">
        <v>18</v>
      </c>
    </row>
    <row r="169" spans="1:10" x14ac:dyDescent="0.25">
      <c r="A169" s="9" t="s">
        <v>260</v>
      </c>
      <c r="B169" s="9" t="s">
        <v>17</v>
      </c>
      <c r="C169" s="2" t="s">
        <v>1043</v>
      </c>
      <c r="D169" s="2" t="s">
        <v>1044</v>
      </c>
      <c r="E169" s="2" t="s">
        <v>1045</v>
      </c>
      <c r="F169" s="2" t="s">
        <v>1046</v>
      </c>
      <c r="G169" s="2" t="s">
        <v>1047</v>
      </c>
      <c r="H169" s="2" t="s">
        <v>1048</v>
      </c>
      <c r="J169" s="10" t="s">
        <v>21</v>
      </c>
    </row>
    <row r="170" spans="1:10" x14ac:dyDescent="0.25">
      <c r="A170" s="9" t="s">
        <v>260</v>
      </c>
      <c r="B170" s="9" t="s">
        <v>19</v>
      </c>
      <c r="C170" s="2" t="s">
        <v>1049</v>
      </c>
      <c r="D170" s="2" t="s">
        <v>1050</v>
      </c>
      <c r="E170" s="2" t="s">
        <v>1051</v>
      </c>
      <c r="F170" s="2" t="s">
        <v>1052</v>
      </c>
      <c r="G170" s="2" t="s">
        <v>541</v>
      </c>
      <c r="J170" s="10" t="s">
        <v>18</v>
      </c>
    </row>
    <row r="171" spans="1:10" x14ac:dyDescent="0.25">
      <c r="A171" s="9" t="s">
        <v>260</v>
      </c>
      <c r="B171" s="9" t="s">
        <v>20</v>
      </c>
      <c r="C171" s="2" t="s">
        <v>1053</v>
      </c>
      <c r="D171" s="2" t="s">
        <v>1054</v>
      </c>
      <c r="E171" s="2" t="s">
        <v>1055</v>
      </c>
      <c r="F171" s="2" t="s">
        <v>1056</v>
      </c>
      <c r="G171" s="2" t="s">
        <v>1057</v>
      </c>
      <c r="H171" s="2" t="s">
        <v>541</v>
      </c>
      <c r="J171" s="10" t="s">
        <v>14</v>
      </c>
    </row>
    <row r="172" spans="1:10" x14ac:dyDescent="0.25">
      <c r="A172" s="9" t="s">
        <v>260</v>
      </c>
      <c r="B172" s="9" t="s">
        <v>22</v>
      </c>
      <c r="C172" s="2" t="s">
        <v>1058</v>
      </c>
      <c r="D172" s="2" t="s">
        <v>1059</v>
      </c>
      <c r="E172" s="2" t="s">
        <v>1060</v>
      </c>
      <c r="F172" s="2" t="s">
        <v>1061</v>
      </c>
      <c r="G172" s="2" t="s">
        <v>1062</v>
      </c>
      <c r="H172" s="2" t="s">
        <v>1063</v>
      </c>
      <c r="J172" s="10" t="s">
        <v>14</v>
      </c>
    </row>
    <row r="173" spans="1:10" x14ac:dyDescent="0.25">
      <c r="A173" s="9" t="s">
        <v>260</v>
      </c>
      <c r="B173" s="9" t="s">
        <v>24</v>
      </c>
      <c r="C173" s="2" t="s">
        <v>1064</v>
      </c>
      <c r="D173" s="2" t="s">
        <v>1065</v>
      </c>
      <c r="E173" s="2" t="s">
        <v>1066</v>
      </c>
      <c r="F173" s="2" t="s">
        <v>1067</v>
      </c>
      <c r="G173" s="2" t="s">
        <v>1068</v>
      </c>
      <c r="H173" s="2" t="s">
        <v>541</v>
      </c>
      <c r="J173" s="10" t="s">
        <v>14</v>
      </c>
    </row>
    <row r="174" spans="1:10" x14ac:dyDescent="0.25">
      <c r="A174" s="9" t="s">
        <v>260</v>
      </c>
      <c r="B174" s="9" t="s">
        <v>25</v>
      </c>
      <c r="C174" s="2" t="s">
        <v>1069</v>
      </c>
      <c r="D174" s="2" t="s">
        <v>1070</v>
      </c>
      <c r="E174" s="2" t="s">
        <v>1071</v>
      </c>
      <c r="F174" s="2" t="s">
        <v>1072</v>
      </c>
      <c r="G174" s="2" t="s">
        <v>1073</v>
      </c>
      <c r="H174" s="2" t="s">
        <v>541</v>
      </c>
      <c r="J174" s="10" t="s">
        <v>21</v>
      </c>
    </row>
    <row r="175" spans="1:10" x14ac:dyDescent="0.25">
      <c r="A175" s="9" t="s">
        <v>260</v>
      </c>
      <c r="B175" s="9" t="s">
        <v>26</v>
      </c>
      <c r="C175" s="2" t="s">
        <v>1074</v>
      </c>
      <c r="D175" s="2" t="s">
        <v>433</v>
      </c>
      <c r="E175" s="2" t="s">
        <v>434</v>
      </c>
      <c r="J175" s="10" t="s">
        <v>21</v>
      </c>
    </row>
    <row r="176" spans="1:10" x14ac:dyDescent="0.25">
      <c r="A176" s="9" t="s">
        <v>260</v>
      </c>
      <c r="B176" s="9" t="s">
        <v>27</v>
      </c>
      <c r="C176" s="2" t="s">
        <v>1075</v>
      </c>
      <c r="D176" s="2" t="s">
        <v>1076</v>
      </c>
      <c r="E176" s="2" t="s">
        <v>1077</v>
      </c>
      <c r="F176" s="2" t="s">
        <v>1078</v>
      </c>
      <c r="G176" s="2" t="s">
        <v>541</v>
      </c>
      <c r="J176" s="10" t="s">
        <v>18</v>
      </c>
    </row>
    <row r="177" spans="1:10" x14ac:dyDescent="0.25">
      <c r="A177" s="9" t="s">
        <v>260</v>
      </c>
      <c r="B177" s="9" t="s">
        <v>28</v>
      </c>
      <c r="C177" s="2" t="s">
        <v>1079</v>
      </c>
      <c r="D177" s="2" t="s">
        <v>1080</v>
      </c>
      <c r="E177" s="2" t="s">
        <v>1081</v>
      </c>
      <c r="F177" s="2" t="s">
        <v>1082</v>
      </c>
      <c r="G177" s="2" t="s">
        <v>1083</v>
      </c>
      <c r="H177" s="2" t="s">
        <v>541</v>
      </c>
      <c r="J177" s="10" t="s">
        <v>18</v>
      </c>
    </row>
    <row r="178" spans="1:10" x14ac:dyDescent="0.25">
      <c r="A178" s="9" t="s">
        <v>260</v>
      </c>
      <c r="B178" s="9" t="s">
        <v>29</v>
      </c>
      <c r="C178" s="2" t="s">
        <v>1084</v>
      </c>
      <c r="D178" s="2" t="s">
        <v>1085</v>
      </c>
      <c r="E178" s="2" t="s">
        <v>1086</v>
      </c>
      <c r="F178" s="2" t="s">
        <v>1087</v>
      </c>
      <c r="G178" s="2" t="s">
        <v>618</v>
      </c>
      <c r="H178" s="2" t="s">
        <v>541</v>
      </c>
      <c r="J178" s="10" t="s">
        <v>12</v>
      </c>
    </row>
    <row r="179" spans="1:10" x14ac:dyDescent="0.25">
      <c r="A179" s="9" t="s">
        <v>260</v>
      </c>
      <c r="B179" s="9" t="s">
        <v>30</v>
      </c>
      <c r="C179" s="2" t="s">
        <v>1088</v>
      </c>
      <c r="D179" s="2" t="s">
        <v>1089</v>
      </c>
      <c r="E179" s="2" t="s">
        <v>1090</v>
      </c>
      <c r="F179" s="2" t="s">
        <v>1091</v>
      </c>
      <c r="G179" s="2" t="s">
        <v>1092</v>
      </c>
      <c r="H179" s="2" t="s">
        <v>541</v>
      </c>
      <c r="J179" s="10" t="s">
        <v>18</v>
      </c>
    </row>
    <row r="180" spans="1:10" x14ac:dyDescent="0.25">
      <c r="A180" s="9" t="s">
        <v>260</v>
      </c>
      <c r="B180" s="9" t="s">
        <v>31</v>
      </c>
      <c r="C180" s="2" t="s">
        <v>1084</v>
      </c>
      <c r="D180" s="2" t="s">
        <v>1087</v>
      </c>
      <c r="E180" s="2" t="s">
        <v>1085</v>
      </c>
      <c r="F180" s="2" t="s">
        <v>1086</v>
      </c>
      <c r="G180" s="2" t="s">
        <v>618</v>
      </c>
      <c r="H180" s="2" t="s">
        <v>541</v>
      </c>
      <c r="J180" s="10" t="s">
        <v>12</v>
      </c>
    </row>
    <row r="181" spans="1:10" x14ac:dyDescent="0.25">
      <c r="A181" s="9" t="s">
        <v>260</v>
      </c>
      <c r="B181" s="9" t="s">
        <v>32</v>
      </c>
      <c r="C181" s="2" t="s">
        <v>1093</v>
      </c>
      <c r="D181" s="2" t="s">
        <v>1094</v>
      </c>
      <c r="E181" s="2" t="s">
        <v>571</v>
      </c>
      <c r="F181" s="2" t="s">
        <v>568</v>
      </c>
      <c r="G181" s="2" t="s">
        <v>1095</v>
      </c>
      <c r="H181" s="2" t="s">
        <v>541</v>
      </c>
      <c r="J181" s="10" t="s">
        <v>14</v>
      </c>
    </row>
    <row r="182" spans="1:10" x14ac:dyDescent="0.25">
      <c r="A182" s="9" t="s">
        <v>260</v>
      </c>
      <c r="B182" s="9" t="s">
        <v>33</v>
      </c>
      <c r="C182" s="2" t="s">
        <v>1096</v>
      </c>
      <c r="D182" s="2" t="s">
        <v>1097</v>
      </c>
      <c r="E182" s="2" t="s">
        <v>1098</v>
      </c>
      <c r="F182" s="2" t="s">
        <v>1099</v>
      </c>
      <c r="G182" s="2" t="s">
        <v>1100</v>
      </c>
      <c r="H182" s="2" t="s">
        <v>541</v>
      </c>
      <c r="J182" s="10" t="s">
        <v>12</v>
      </c>
    </row>
    <row r="183" spans="1:10" x14ac:dyDescent="0.25">
      <c r="A183" s="9" t="s">
        <v>260</v>
      </c>
      <c r="B183" s="9" t="s">
        <v>34</v>
      </c>
      <c r="C183" s="2" t="s">
        <v>1101</v>
      </c>
      <c r="D183" s="2" t="s">
        <v>964</v>
      </c>
      <c r="E183" s="2" t="s">
        <v>1102</v>
      </c>
      <c r="F183" s="2" t="s">
        <v>1103</v>
      </c>
      <c r="G183" s="2" t="s">
        <v>1104</v>
      </c>
      <c r="H183" s="2" t="s">
        <v>541</v>
      </c>
      <c r="J183" s="10" t="s">
        <v>14</v>
      </c>
    </row>
    <row r="184" spans="1:10" x14ac:dyDescent="0.25">
      <c r="A184" s="9" t="s">
        <v>260</v>
      </c>
      <c r="B184" s="9" t="s">
        <v>35</v>
      </c>
      <c r="C184" s="2" t="s">
        <v>1105</v>
      </c>
      <c r="D184" s="2" t="s">
        <v>1106</v>
      </c>
      <c r="E184" s="2" t="s">
        <v>1107</v>
      </c>
      <c r="F184" s="2" t="s">
        <v>1108</v>
      </c>
      <c r="G184" s="2" t="s">
        <v>1109</v>
      </c>
      <c r="H184" s="2" t="s">
        <v>541</v>
      </c>
      <c r="J184" s="10" t="s">
        <v>18</v>
      </c>
    </row>
    <row r="185" spans="1:10" x14ac:dyDescent="0.25">
      <c r="A185" s="9" t="s">
        <v>260</v>
      </c>
      <c r="B185" s="9" t="s">
        <v>36</v>
      </c>
      <c r="C185" s="2" t="s">
        <v>1110</v>
      </c>
      <c r="D185" s="2" t="s">
        <v>1111</v>
      </c>
      <c r="E185" s="2" t="s">
        <v>1112</v>
      </c>
      <c r="F185" s="2" t="s">
        <v>1113</v>
      </c>
      <c r="G185" s="2" t="s">
        <v>541</v>
      </c>
      <c r="J185" s="10" t="s">
        <v>14</v>
      </c>
    </row>
    <row r="186" spans="1:10" x14ac:dyDescent="0.25">
      <c r="A186" s="9" t="s">
        <v>260</v>
      </c>
      <c r="B186" s="9" t="s">
        <v>37</v>
      </c>
      <c r="C186" s="2" t="s">
        <v>1114</v>
      </c>
      <c r="D186" s="2" t="s">
        <v>1115</v>
      </c>
      <c r="E186" s="2" t="s">
        <v>1116</v>
      </c>
      <c r="F186" s="2" t="s">
        <v>1117</v>
      </c>
      <c r="G186" s="2" t="s">
        <v>1118</v>
      </c>
      <c r="H186" s="2" t="s">
        <v>541</v>
      </c>
      <c r="J186" s="10" t="s">
        <v>21</v>
      </c>
    </row>
    <row r="187" spans="1:10" x14ac:dyDescent="0.25">
      <c r="A187" s="9" t="s">
        <v>260</v>
      </c>
      <c r="B187" s="9" t="s">
        <v>38</v>
      </c>
      <c r="C187" s="2" t="s">
        <v>1119</v>
      </c>
      <c r="D187" s="2" t="s">
        <v>1120</v>
      </c>
      <c r="E187" s="2" t="s">
        <v>1121</v>
      </c>
      <c r="F187" s="2" t="s">
        <v>1122</v>
      </c>
      <c r="G187" s="2" t="s">
        <v>1123</v>
      </c>
      <c r="H187" s="2" t="s">
        <v>541</v>
      </c>
      <c r="J187" s="10" t="s">
        <v>18</v>
      </c>
    </row>
  </sheetData>
  <autoFilter ref="A1:J76" xr:uid="{00000000-0001-0000-0000-000000000000}"/>
  <phoneticPr fontId="9" type="noConversion"/>
  <conditionalFormatting sqref="D1:D1048576">
    <cfRule type="expression" dxfId="11" priority="6">
      <formula>$J1="A"</formula>
    </cfRule>
  </conditionalFormatting>
  <conditionalFormatting sqref="E1:E1048576">
    <cfRule type="expression" dxfId="10" priority="5">
      <formula>$J1="B"</formula>
    </cfRule>
  </conditionalFormatting>
  <conditionalFormatting sqref="F1:F1048576">
    <cfRule type="expression" dxfId="9" priority="4">
      <formula>$J1="C"</formula>
    </cfRule>
  </conditionalFormatting>
  <conditionalFormatting sqref="G1:G1048576">
    <cfRule type="expression" dxfId="8" priority="3">
      <formula>$J1="D"</formula>
    </cfRule>
  </conditionalFormatting>
  <conditionalFormatting sqref="H1:H1048576">
    <cfRule type="expression" dxfId="6" priority="2">
      <formula>$J1="E"</formula>
    </cfRule>
  </conditionalFormatting>
  <conditionalFormatting sqref="I1:I1048576">
    <cfRule type="expression" dxfId="7" priority="1">
      <formula>$J1="F"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B1000"/>
  <sheetViews>
    <sheetView workbookViewId="0"/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I158"/>
  <sheetViews>
    <sheetView topLeftCell="A125" workbookViewId="0">
      <selection activeCell="D136" sqref="D136:J158"/>
    </sheetView>
  </sheetViews>
  <sheetFormatPr baseColWidth="10" defaultRowHeight="15" x14ac:dyDescent="0.25"/>
  <cols>
    <col min="1" max="1" width="34.140625" customWidth="1"/>
    <col min="2" max="2" width="11.42578125" style="17"/>
    <col min="3" max="3" width="33.140625" style="17" customWidth="1"/>
  </cols>
  <sheetData>
    <row r="1" spans="1:9" x14ac:dyDescent="0.25">
      <c r="A1" s="6" t="s">
        <v>270</v>
      </c>
      <c r="B1" s="17">
        <f t="shared" ref="B1:B10" si="0">FIND(" - ",A1)</f>
        <v>2</v>
      </c>
      <c r="C1" s="17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 s="17">
        <f t="shared" si="0"/>
        <v>2</v>
      </c>
      <c r="C2" s="17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 s="17">
        <f t="shared" si="0"/>
        <v>2</v>
      </c>
      <c r="C3" s="17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 s="17">
        <f t="shared" si="0"/>
        <v>2</v>
      </c>
      <c r="C4" s="17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 s="17">
        <f t="shared" si="0"/>
        <v>2</v>
      </c>
      <c r="C5" s="17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 s="17">
        <f t="shared" si="0"/>
        <v>2</v>
      </c>
      <c r="C6" s="17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 s="17">
        <f t="shared" si="0"/>
        <v>2</v>
      </c>
      <c r="C7" s="1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 s="17">
        <f t="shared" si="0"/>
        <v>2</v>
      </c>
      <c r="C8" s="17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 s="17">
        <f t="shared" si="0"/>
        <v>2</v>
      </c>
      <c r="C9" s="17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 s="17">
        <f t="shared" si="0"/>
        <v>3</v>
      </c>
      <c r="C10" s="17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7" t="e">
        <f t="shared" ref="B11:B41" si="2">FIND(" - ",A11)</f>
        <v>#VALUE!</v>
      </c>
      <c r="C11" s="17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 s="17">
        <f t="shared" si="2"/>
        <v>2</v>
      </c>
      <c r="C12" s="17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 s="17">
        <f t="shared" si="2"/>
        <v>2</v>
      </c>
      <c r="C13" s="17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 s="17">
        <f t="shared" si="2"/>
        <v>2</v>
      </c>
      <c r="C14" s="17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 s="17">
        <f t="shared" si="2"/>
        <v>2</v>
      </c>
      <c r="C15" s="17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 s="17">
        <f t="shared" si="2"/>
        <v>2</v>
      </c>
      <c r="C16" s="17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 s="17">
        <f t="shared" si="2"/>
        <v>2</v>
      </c>
      <c r="C17" s="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 s="17">
        <f t="shared" si="2"/>
        <v>2</v>
      </c>
      <c r="C18" s="17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 s="17">
        <f t="shared" si="2"/>
        <v>2</v>
      </c>
      <c r="C19" s="17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 s="17">
        <f t="shared" si="2"/>
        <v>2</v>
      </c>
      <c r="C20" s="17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 s="17">
        <f t="shared" si="2"/>
        <v>2</v>
      </c>
      <c r="C21" s="17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 s="17">
        <f t="shared" si="2"/>
        <v>3</v>
      </c>
      <c r="C22" s="17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 s="17">
        <f t="shared" si="2"/>
        <v>3</v>
      </c>
      <c r="C23" s="17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 s="17">
        <f t="shared" si="2"/>
        <v>3</v>
      </c>
      <c r="C24" s="17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 s="17">
        <f t="shared" si="2"/>
        <v>3</v>
      </c>
      <c r="C25" s="17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 s="17">
        <f t="shared" si="2"/>
        <v>3</v>
      </c>
      <c r="C26" s="17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 s="17">
        <f t="shared" si="2"/>
        <v>3</v>
      </c>
      <c r="C27" s="1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 s="17">
        <f t="shared" si="2"/>
        <v>3</v>
      </c>
      <c r="C28" s="17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7" t="e">
        <f t="shared" si="2"/>
        <v>#VALUE!</v>
      </c>
      <c r="C29" s="17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 s="17">
        <f t="shared" si="2"/>
        <v>10</v>
      </c>
      <c r="C30" s="17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 s="17">
        <f t="shared" si="2"/>
        <v>10</v>
      </c>
      <c r="C31" s="17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 s="17">
        <f t="shared" si="2"/>
        <v>10</v>
      </c>
      <c r="C32" s="17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 s="17">
        <f t="shared" si="2"/>
        <v>10</v>
      </c>
      <c r="C33" s="17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 s="17">
        <f t="shared" si="2"/>
        <v>10</v>
      </c>
      <c r="C34" s="17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 s="17">
        <f t="shared" si="2"/>
        <v>10</v>
      </c>
      <c r="C35" s="17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 s="17">
        <f t="shared" si="2"/>
        <v>10</v>
      </c>
      <c r="C36" s="17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 s="17">
        <f t="shared" si="2"/>
        <v>10</v>
      </c>
      <c r="C37" s="1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 s="17">
        <f t="shared" si="2"/>
        <v>10</v>
      </c>
      <c r="C38" s="17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 s="17">
        <f t="shared" si="2"/>
        <v>11</v>
      </c>
      <c r="C39" s="17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 s="17">
        <f t="shared" si="2"/>
        <v>11</v>
      </c>
      <c r="C40" s="17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 s="17">
        <f t="shared" si="2"/>
        <v>11</v>
      </c>
      <c r="C41" s="17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7" t="e">
        <f t="shared" ref="B42" si="5">FIND(" - ",A42)</f>
        <v>#VALUE!</v>
      </c>
      <c r="C42" s="17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 s="17">
        <f>FIND(" – ",A43)</f>
        <v>2</v>
      </c>
      <c r="C43" s="17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 s="17">
        <f t="shared" ref="B44:B82" si="7">FIND(" – ",A44)</f>
        <v>2</v>
      </c>
      <c r="C44" s="17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 s="17">
        <f t="shared" si="7"/>
        <v>2</v>
      </c>
      <c r="C45" s="17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 s="17">
        <f t="shared" si="7"/>
        <v>2</v>
      </c>
      <c r="C46" s="17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 s="17">
        <f t="shared" si="7"/>
        <v>2</v>
      </c>
      <c r="C47" s="1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 s="17">
        <f t="shared" si="7"/>
        <v>2</v>
      </c>
      <c r="C48" s="17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 s="17">
        <f t="shared" si="7"/>
        <v>2</v>
      </c>
      <c r="C49" s="17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 s="17">
        <f t="shared" si="7"/>
        <v>2</v>
      </c>
      <c r="C50" s="17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 s="17">
        <f t="shared" si="7"/>
        <v>2</v>
      </c>
      <c r="C51" s="17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 s="17">
        <f t="shared" si="7"/>
        <v>3</v>
      </c>
      <c r="C52" s="17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 s="17">
        <f t="shared" si="7"/>
        <v>3</v>
      </c>
      <c r="C53" s="17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 s="17">
        <f t="shared" si="7"/>
        <v>3</v>
      </c>
      <c r="C54" s="17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 s="17">
        <f t="shared" si="7"/>
        <v>3</v>
      </c>
      <c r="C55" s="17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 s="17">
        <f t="shared" si="7"/>
        <v>3</v>
      </c>
      <c r="C56" s="17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 s="17">
        <f t="shared" si="7"/>
        <v>3</v>
      </c>
      <c r="C57" s="1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 s="17">
        <f t="shared" si="7"/>
        <v>3</v>
      </c>
      <c r="C58" s="17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 s="17">
        <f t="shared" si="7"/>
        <v>3</v>
      </c>
      <c r="C59" s="17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 s="17">
        <f t="shared" si="7"/>
        <v>3</v>
      </c>
      <c r="C60" s="17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 s="17">
        <f t="shared" si="7"/>
        <v>3</v>
      </c>
      <c r="C61" s="17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 s="17">
        <f t="shared" si="7"/>
        <v>3</v>
      </c>
      <c r="C62" s="17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 s="17">
        <f t="shared" si="7"/>
        <v>3</v>
      </c>
      <c r="C63" s="17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 s="17">
        <f t="shared" si="7"/>
        <v>3</v>
      </c>
      <c r="C64" s="17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 s="17">
        <f t="shared" si="7"/>
        <v>3</v>
      </c>
      <c r="C65" s="17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 s="17">
        <f t="shared" si="7"/>
        <v>3</v>
      </c>
      <c r="C66" s="17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 s="17">
        <f t="shared" si="7"/>
        <v>3</v>
      </c>
      <c r="C67" s="1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 s="17">
        <f t="shared" si="7"/>
        <v>3</v>
      </c>
      <c r="C68" s="17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 s="17">
        <f t="shared" si="7"/>
        <v>3</v>
      </c>
      <c r="C69" s="17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 s="17">
        <f t="shared" si="7"/>
        <v>3</v>
      </c>
      <c r="C70" s="17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 s="17">
        <f t="shared" si="7"/>
        <v>3</v>
      </c>
      <c r="C71" s="17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 s="17">
        <f t="shared" si="7"/>
        <v>3</v>
      </c>
      <c r="C72" s="17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 s="17">
        <f t="shared" si="7"/>
        <v>3</v>
      </c>
      <c r="C73" s="17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 s="17">
        <f t="shared" si="7"/>
        <v>3</v>
      </c>
      <c r="C74" s="17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 s="17">
        <f t="shared" si="7"/>
        <v>3</v>
      </c>
      <c r="C75" s="17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 s="17">
        <f t="shared" si="7"/>
        <v>3</v>
      </c>
      <c r="C76" s="17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 s="17">
        <f t="shared" si="7"/>
        <v>3</v>
      </c>
      <c r="C77" s="1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 s="17">
        <f t="shared" si="7"/>
        <v>3</v>
      </c>
      <c r="C78" s="17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 s="17">
        <f t="shared" si="7"/>
        <v>3</v>
      </c>
      <c r="C79" s="17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 s="17">
        <f t="shared" si="7"/>
        <v>3</v>
      </c>
      <c r="C80" s="17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 s="17">
        <f t="shared" si="7"/>
        <v>3</v>
      </c>
      <c r="C81" s="17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 s="17">
        <f t="shared" si="7"/>
        <v>3</v>
      </c>
      <c r="C82" s="17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715</v>
      </c>
      <c r="B84" s="17">
        <f t="shared" ref="B84:B91" si="8">FIND(" – ",A84)</f>
        <v>2</v>
      </c>
      <c r="C84" s="17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716</v>
      </c>
      <c r="B85" s="17">
        <f t="shared" si="8"/>
        <v>2</v>
      </c>
      <c r="C85" s="17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717</v>
      </c>
      <c r="B86" s="17">
        <f t="shared" si="8"/>
        <v>2</v>
      </c>
      <c r="C86" s="17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718</v>
      </c>
      <c r="B87" s="17">
        <f t="shared" si="8"/>
        <v>2</v>
      </c>
      <c r="C87" s="1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719</v>
      </c>
      <c r="B88" s="17">
        <f t="shared" si="8"/>
        <v>2</v>
      </c>
      <c r="C88" s="17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720</v>
      </c>
      <c r="B89" s="17">
        <f t="shared" si="8"/>
        <v>2</v>
      </c>
      <c r="C89" s="17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721</v>
      </c>
      <c r="B90" s="17">
        <f t="shared" si="8"/>
        <v>2</v>
      </c>
      <c r="C90" s="17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722</v>
      </c>
      <c r="B91" s="17">
        <f t="shared" si="8"/>
        <v>2</v>
      </c>
      <c r="C91" s="17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763</v>
      </c>
      <c r="B93" s="17">
        <f t="shared" ref="B93:B106" si="10">FIND(" - ",A93)</f>
        <v>10</v>
      </c>
      <c r="C93" s="17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764</v>
      </c>
      <c r="B94" s="17">
        <f t="shared" si="10"/>
        <v>10</v>
      </c>
      <c r="C94" s="17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765</v>
      </c>
      <c r="B95" s="17">
        <f t="shared" si="10"/>
        <v>10</v>
      </c>
      <c r="C95" s="17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766</v>
      </c>
      <c r="B96" s="17">
        <f t="shared" si="10"/>
        <v>10</v>
      </c>
      <c r="C96" s="17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767</v>
      </c>
      <c r="B97" s="17">
        <f t="shared" si="10"/>
        <v>10</v>
      </c>
      <c r="C97" s="17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768</v>
      </c>
      <c r="B98" s="17">
        <f t="shared" si="10"/>
        <v>10</v>
      </c>
      <c r="C98" s="17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769</v>
      </c>
      <c r="B99" s="17">
        <f t="shared" si="10"/>
        <v>10</v>
      </c>
      <c r="C99" s="17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770</v>
      </c>
      <c r="B100" s="17">
        <f t="shared" si="10"/>
        <v>10</v>
      </c>
      <c r="C100" s="17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771</v>
      </c>
      <c r="B101" s="17">
        <f t="shared" si="10"/>
        <v>10</v>
      </c>
      <c r="C101" s="17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772</v>
      </c>
      <c r="B102" s="17">
        <f t="shared" si="10"/>
        <v>11</v>
      </c>
      <c r="C102" s="17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773</v>
      </c>
      <c r="B103" s="17">
        <f t="shared" si="10"/>
        <v>11</v>
      </c>
      <c r="C103" s="17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774</v>
      </c>
      <c r="B104" s="17">
        <f t="shared" si="10"/>
        <v>11</v>
      </c>
      <c r="C104" s="17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775</v>
      </c>
      <c r="B105" s="17">
        <f t="shared" si="10"/>
        <v>11</v>
      </c>
      <c r="C105" s="17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776</v>
      </c>
      <c r="B106" s="17">
        <f t="shared" si="10"/>
        <v>11</v>
      </c>
      <c r="C106" s="17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777</v>
      </c>
      <c r="B107" s="17">
        <f t="shared" ref="B107:B112" si="12">FIND(" - ",A107)</f>
        <v>11</v>
      </c>
      <c r="C107" s="17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778</v>
      </c>
      <c r="B108" s="17">
        <f t="shared" si="12"/>
        <v>11</v>
      </c>
      <c r="C108" s="17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779</v>
      </c>
      <c r="B109" s="17">
        <f t="shared" si="12"/>
        <v>11</v>
      </c>
      <c r="C109" s="17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780</v>
      </c>
      <c r="B110" s="17">
        <f t="shared" si="12"/>
        <v>11</v>
      </c>
      <c r="C110" s="17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781</v>
      </c>
      <c r="B111" s="17">
        <f t="shared" si="12"/>
        <v>11</v>
      </c>
      <c r="C111" s="17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782</v>
      </c>
      <c r="B112" s="17">
        <f t="shared" si="12"/>
        <v>11</v>
      </c>
      <c r="C112" s="17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4" t="s">
        <v>884</v>
      </c>
      <c r="B114" s="17">
        <f t="shared" ref="B114:B123" si="14">FIND(" – ",A114)</f>
        <v>2</v>
      </c>
      <c r="C114" s="17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4" t="s">
        <v>885</v>
      </c>
      <c r="B115" s="17">
        <f t="shared" si="14"/>
        <v>2</v>
      </c>
      <c r="C115" s="17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4" t="s">
        <v>886</v>
      </c>
      <c r="B116" s="17">
        <f t="shared" si="14"/>
        <v>2</v>
      </c>
      <c r="C116" s="17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4" t="s">
        <v>887</v>
      </c>
      <c r="B117" s="17">
        <f t="shared" si="14"/>
        <v>2</v>
      </c>
      <c r="C117" s="17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4" t="s">
        <v>888</v>
      </c>
      <c r="B118" s="17">
        <f t="shared" si="14"/>
        <v>2</v>
      </c>
      <c r="C118" s="17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4" t="s">
        <v>889</v>
      </c>
      <c r="B119" s="17">
        <f t="shared" si="14"/>
        <v>2</v>
      </c>
      <c r="C119" s="17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4" t="s">
        <v>890</v>
      </c>
      <c r="B120" s="17">
        <f t="shared" si="14"/>
        <v>2</v>
      </c>
      <c r="C120" s="17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4" t="s">
        <v>891</v>
      </c>
      <c r="B121" s="17">
        <f t="shared" si="14"/>
        <v>2</v>
      </c>
      <c r="C121" s="17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4" t="s">
        <v>892</v>
      </c>
      <c r="B122" s="17">
        <f t="shared" si="14"/>
        <v>2</v>
      </c>
      <c r="C122" s="17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4" t="s">
        <v>893</v>
      </c>
      <c r="B123" s="17">
        <f t="shared" si="14"/>
        <v>3</v>
      </c>
      <c r="C123" s="17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5"/>
    </row>
    <row r="125" spans="1:9" x14ac:dyDescent="0.25">
      <c r="A125" s="6" t="s">
        <v>944</v>
      </c>
      <c r="B125" s="17">
        <f t="shared" ref="B125:B134" si="16">FIND(" – ",A125)</f>
        <v>10</v>
      </c>
      <c r="C125" s="17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6" t="s">
        <v>945</v>
      </c>
      <c r="B126" s="17">
        <f t="shared" si="16"/>
        <v>10</v>
      </c>
      <c r="C126" s="17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6" t="s">
        <v>946</v>
      </c>
      <c r="B127" s="17">
        <f t="shared" si="16"/>
        <v>10</v>
      </c>
      <c r="C127" s="17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6" t="s">
        <v>947</v>
      </c>
      <c r="B128" s="17">
        <f t="shared" si="16"/>
        <v>10</v>
      </c>
      <c r="C128" s="17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6" t="s">
        <v>948</v>
      </c>
      <c r="B129" s="17">
        <f t="shared" si="16"/>
        <v>10</v>
      </c>
      <c r="C129" s="17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6" t="s">
        <v>949</v>
      </c>
      <c r="B130" s="17">
        <f t="shared" si="16"/>
        <v>10</v>
      </c>
      <c r="C130" s="17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6" t="s">
        <v>950</v>
      </c>
      <c r="B131" s="17">
        <f t="shared" si="16"/>
        <v>10</v>
      </c>
      <c r="C131" s="17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6" t="s">
        <v>951</v>
      </c>
      <c r="B132" s="17">
        <f t="shared" si="16"/>
        <v>10</v>
      </c>
      <c r="C132" s="17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6" t="s">
        <v>952</v>
      </c>
      <c r="B133" s="17">
        <f t="shared" si="16"/>
        <v>10</v>
      </c>
      <c r="C133" s="17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6" t="s">
        <v>953</v>
      </c>
      <c r="B134" s="17">
        <f t="shared" si="16"/>
        <v>11</v>
      </c>
      <c r="C134" s="17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  <row r="136" spans="1:9" x14ac:dyDescent="0.25">
      <c r="A136" s="6" t="s">
        <v>1002</v>
      </c>
      <c r="B136" s="17">
        <f t="shared" ref="B136:B158" si="18">FIND(" – ",A136)</f>
        <v>10</v>
      </c>
      <c r="C136" s="17" t="str">
        <f t="shared" ref="C136:C158" si="19">RIGHT(A136, LEN(A136)-(B136+2))</f>
        <v>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v>
      </c>
      <c r="D136" t="str" cm="1">
        <f t="array" ref="D136:I136">_xlfn.TEXTSPLIT(C136,"|")</f>
        <v>En cas de détection incendie, sur quelle unité le voyant est-il lumineux ?</v>
      </c>
      <c r="E136" t="str">
        <v>Le CMSI, Centralisateur de Mise en Sécurité Incendie</v>
      </c>
      <c r="F136" t="str">
        <v>Le SMSI, Système de Mise en Sécurité Incendie</v>
      </c>
      <c r="G136" t="str">
        <v>Le DAS, Dispositif Actionné de Sécurité</v>
      </c>
      <c r="H136" t="str">
        <v>Le SDI, Système de Détection Incendie</v>
      </c>
      <c r="I136" t="str">
        <v>Aucune des réponses précédentes</v>
      </c>
    </row>
    <row r="137" spans="1:9" x14ac:dyDescent="0.25">
      <c r="A137" s="6" t="s">
        <v>1003</v>
      </c>
      <c r="B137" s="17">
        <f t="shared" si="18"/>
        <v>10</v>
      </c>
      <c r="C137" s="17" t="str">
        <f t="shared" si="19"/>
        <v>Quelle type d’alarme existe-il dans le fonctionnement d’un DATI ?|L’alarme semi-automatique|Aucune des réponses précédentes|La perte de verticalité|L’alarme aléatoire|Aucune des réponses précédentes</v>
      </c>
      <c r="D137" t="str" cm="1">
        <f t="array" ref="D137:I137">_xlfn.TEXTSPLIT(C137,"|")</f>
        <v>Quelle type d’alarme existe-il dans le fonctionnement d’un DATI ?</v>
      </c>
      <c r="E137" t="str">
        <v>L’alarme semi-automatique</v>
      </c>
      <c r="F137" t="str">
        <v>Aucune des réponses précédentes</v>
      </c>
      <c r="G137" t="str">
        <v>La perte de verticalité</v>
      </c>
      <c r="H137" t="str">
        <v>L’alarme aléatoire</v>
      </c>
      <c r="I137" t="str">
        <v>Aucune des réponses précédentes</v>
      </c>
    </row>
    <row r="138" spans="1:9" x14ac:dyDescent="0.25">
      <c r="A138" s="6" t="s">
        <v>1004</v>
      </c>
      <c r="B138" s="17">
        <f t="shared" si="18"/>
        <v>10</v>
      </c>
      <c r="C138" s="17" t="str">
        <f t="shared" si="19"/>
        <v>Quel est le signe distinctif réglementaire qui permet d’identifier un local électrique ?|Un symbole avec une tête de mort|Un triangle rouge|Un triangle jaune|Un panneau défense d’entrer|Aucune des réponses précédentes</v>
      </c>
      <c r="D138" t="str" cm="1">
        <f t="array" ref="D138:I138">_xlfn.TEXTSPLIT(C138,"|")</f>
        <v>Quel est le signe distinctif réglementaire qui permet d’identifier un local électrique ?</v>
      </c>
      <c r="E138" t="str">
        <v>Un symbole avec une tête de mort</v>
      </c>
      <c r="F138" t="str">
        <v>Un triangle rouge</v>
      </c>
      <c r="G138" t="str">
        <v>Un triangle jaune</v>
      </c>
      <c r="H138" t="str">
        <v>Un panneau défense d’entrer</v>
      </c>
      <c r="I138" t="str">
        <v>Aucune des réponses précédentes</v>
      </c>
    </row>
    <row r="139" spans="1:9" x14ac:dyDescent="0.25">
      <c r="A139" s="6" t="s">
        <v>1005</v>
      </c>
      <c r="B139" s="17">
        <f t="shared" si="18"/>
        <v>10</v>
      </c>
      <c r="C139" s="17" t="str">
        <f t="shared" si="19"/>
        <v>Votre équipement de protection du travailleur isolé est utile :|Uniquement au PC|Uniquement durant le circuit de vérification|Au poste de sécurité (PC) et en dehors du PC|Aucune des réponses précédentes</v>
      </c>
      <c r="D139" t="str" cm="1">
        <f t="array" ref="D139:H139">_xlfn.TEXTSPLIT(C139,"|")</f>
        <v>Votre équipement de protection du travailleur isolé est utile :</v>
      </c>
      <c r="E139" t="str">
        <v>Uniquement au PC</v>
      </c>
      <c r="F139" t="str">
        <v>Uniquement durant le circuit de vérification</v>
      </c>
      <c r="G139" t="str">
        <v>Au poste de sécurité (PC) et en dehors du PC</v>
      </c>
      <c r="H139" t="str">
        <v>Aucune des réponses précédentes</v>
      </c>
    </row>
    <row r="140" spans="1:9" x14ac:dyDescent="0.25">
      <c r="A140" s="6" t="s">
        <v>1006</v>
      </c>
      <c r="B140" s="17">
        <f t="shared" si="18"/>
        <v>10</v>
      </c>
      <c r="C140" s="17" t="str">
        <f t="shared" si="19"/>
        <v>Quelle habilitation minimum doit avoir un APS pour entrer dans un local avec TGBT (Tableau Général Basse Tension) ?|L’habilitation H1 / B1|L’habilitation H0 / B0|L’habilitation BR ou BC|L’habilitation BS ou BE manœuvre|Aucune habilitation n’est nécessaire</v>
      </c>
      <c r="D140" t="str" cm="1">
        <f t="array" ref="D140:I140">_xlfn.TEXTSPLIT(C140,"|")</f>
        <v>Quelle habilitation minimum doit avoir un APS pour entrer dans un local avec TGBT (Tableau Général Basse Tension) ?</v>
      </c>
      <c r="E140" t="str">
        <v>L’habilitation H1 / B1</v>
      </c>
      <c r="F140" t="str">
        <v>L’habilitation H0 / B0</v>
      </c>
      <c r="G140" t="str">
        <v>L’habilitation BR ou BC</v>
      </c>
      <c r="H140" t="str">
        <v>L’habilitation BS ou BE manœuvre</v>
      </c>
      <c r="I140" t="str">
        <v>Aucune habilitation n’est nécessaire</v>
      </c>
    </row>
    <row r="141" spans="1:9" x14ac:dyDescent="0.25">
      <c r="A141" s="6" t="s">
        <v>1007</v>
      </c>
      <c r="B141" s="17">
        <f t="shared" si="18"/>
        <v>10</v>
      </c>
      <c r="C141" s="17" t="str">
        <f t="shared" si="19"/>
        <v>Quel est l’un des modes de déclenchement dans le fonctionnement d’un DATI ?|En cas d’arrachement et/ou d’agression morale|En cas d’arrachement et/ou d’agression psychique|En cas d’arrachement et/ou d’agression physique|Aucune des réponses précédentes</v>
      </c>
      <c r="D141" t="str" cm="1">
        <f t="array" ref="D141:H141">_xlfn.TEXTSPLIT(C141,"|")</f>
        <v>Quel est l’un des modes de déclenchement dans le fonctionnement d’un DATI ?</v>
      </c>
      <c r="E141" t="str">
        <v>En cas d’arrachement et/ou d’agression morale</v>
      </c>
      <c r="F141" t="str">
        <v>En cas d’arrachement et/ou d’agression psychique</v>
      </c>
      <c r="G141" t="str">
        <v>En cas d’arrachement et/ou d’agression physique</v>
      </c>
      <c r="H141" t="str">
        <v>Aucune des réponses précédentes</v>
      </c>
    </row>
    <row r="142" spans="1:9" x14ac:dyDescent="0.25">
      <c r="A142" s="6" t="s">
        <v>1008</v>
      </c>
      <c r="B142" s="17">
        <f t="shared" si="18"/>
        <v>10</v>
      </c>
      <c r="C142" s="17" t="str">
        <f t="shared" si="19"/>
        <v>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v>
      </c>
      <c r="D142" t="str" cm="1">
        <f t="array" ref="D142:I142">_xlfn.TEXTSPLIT(C142,"|")</f>
        <v>Quel est l’un des éléments qui permet le déclenchement du dispositif DATI ?</v>
      </c>
      <c r="E142" t="str">
        <v>Le dispositif détecte une position anormale prolongée du travailleur</v>
      </c>
      <c r="F142" t="str">
        <v>Le dispositif se déclenche en cas d’intrusion</v>
      </c>
      <c r="G142" t="str">
        <v>Le dispositif se déclenche en cas de ronde réalisée partiellement</v>
      </c>
      <c r="H142" t="str">
        <v>Le dispositif se déclenche en cas de détonation</v>
      </c>
      <c r="I142" t="str">
        <v>Aucune des réponses précédentes</v>
      </c>
    </row>
    <row r="143" spans="1:9" x14ac:dyDescent="0.25">
      <c r="A143" s="6" t="s">
        <v>1009</v>
      </c>
      <c r="B143" s="17">
        <f t="shared" si="18"/>
        <v>10</v>
      </c>
      <c r="C143" s="17" t="str">
        <f t="shared" si="19"/>
        <v>Que signifie le sigle DATI ?|Dispositif d’Alarme du Travailleur Isolé|Détecteur Automatique Temporisé d’Intrusion|Dispositif d’Alerte du Travailleur Isolé|Dispositif d’Alarme Travail Intérieur|Dispositif d’Alarme Technique Individuel</v>
      </c>
      <c r="D143" t="str" cm="1">
        <f t="array" ref="D143:I143">_xlfn.TEXTSPLIT(C143,"|")</f>
        <v>Que signifie le sigle DATI ?</v>
      </c>
      <c r="E143" t="str">
        <v>Dispositif d’Alarme du Travailleur Isolé</v>
      </c>
      <c r="F143" t="str">
        <v>Détecteur Automatique Temporisé d’Intrusion</v>
      </c>
      <c r="G143" t="str">
        <v>Dispositif d’Alerte du Travailleur Isolé</v>
      </c>
      <c r="H143" t="str">
        <v>Dispositif d’Alarme Travail Intérieur</v>
      </c>
      <c r="I143" t="str">
        <v>Dispositif d’Alarme Technique Individuel</v>
      </c>
    </row>
    <row r="144" spans="1:9" x14ac:dyDescent="0.25">
      <c r="A144" s="6" t="s">
        <v>1010</v>
      </c>
      <c r="B144" s="17">
        <f t="shared" si="18"/>
        <v>10</v>
      </c>
      <c r="C144" s="17" t="str">
        <f t="shared" si="19"/>
        <v>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v>
      </c>
      <c r="D144" t="str" cm="1">
        <f t="array" ref="D144:I144">_xlfn.TEXTSPLIT(C144,"|")</f>
        <v>Pour vous, quelle réponse justifierait le port du DATI ?</v>
      </c>
      <c r="E144" t="str">
        <v>J’effectue seul(e) une ronde sur un site</v>
      </c>
      <c r="F144" t="str">
        <v>Je suis en surveillance de nuit avec 3 autres APS</v>
      </c>
      <c r="G144" t="str">
        <v>Je suis affecté au contrôle d’accès d’un site face à l’accueil en activité</v>
      </c>
      <c r="H144" t="str">
        <v>Je suis en surveillance derrière la ligne de caisse avec 3 autres APS</v>
      </c>
      <c r="I144" t="str">
        <v>Aucune des réponses précédentes</v>
      </c>
    </row>
    <row r="145" spans="1:9" x14ac:dyDescent="0.25">
      <c r="A145" s="6" t="s">
        <v>1011</v>
      </c>
      <c r="B145" s="17">
        <f t="shared" si="18"/>
        <v>11</v>
      </c>
      <c r="C145" s="17" t="str">
        <f t="shared" si="19"/>
        <v>Quelles sont les limites de la basse tension en courant alternatif ?|De 500 V à 800 V|De 50 V à 1000 V|De 500 V à 1000 V|De 50 V à 750 V|Aucune des réponses précédentes</v>
      </c>
      <c r="D145" t="str" cm="1">
        <f t="array" ref="D145:I145">_xlfn.TEXTSPLIT(C145,"|")</f>
        <v>Quelles sont les limites de la basse tension en courant alternatif ?</v>
      </c>
      <c r="E145" t="str">
        <v>De 500 V à 800 V</v>
      </c>
      <c r="F145" t="str">
        <v>De 50 V à 1000 V</v>
      </c>
      <c r="G145" t="str">
        <v>De 500 V à 1000 V</v>
      </c>
      <c r="H145" t="str">
        <v>De 50 V à 750 V</v>
      </c>
      <c r="I145" t="str">
        <v>Aucune des réponses précédentes</v>
      </c>
    </row>
    <row r="146" spans="1:9" x14ac:dyDescent="0.25">
      <c r="A146" s="6" t="s">
        <v>1012</v>
      </c>
      <c r="B146" s="17">
        <f t="shared" si="18"/>
        <v>11</v>
      </c>
      <c r="C146" s="17" t="str">
        <f t="shared" si="19"/>
        <v>En cas de déclenchement du dispositif d’alarme d’un DATI, peut-on localiser avec précision une victime ?|Oui|Non</v>
      </c>
      <c r="D146" t="str" cm="1">
        <f t="array" ref="D146:F146">_xlfn.TEXTSPLIT(C146,"|")</f>
        <v>En cas de déclenchement du dispositif d’alarme d’un DATI, peut-on localiser avec précision une victime ?</v>
      </c>
      <c r="E146" t="str">
        <v>Oui</v>
      </c>
      <c r="F146" t="str">
        <v>Non</v>
      </c>
    </row>
    <row r="147" spans="1:9" x14ac:dyDescent="0.25">
      <c r="A147" s="6" t="s">
        <v>1013</v>
      </c>
      <c r="B147" s="17">
        <f t="shared" si="18"/>
        <v>11</v>
      </c>
      <c r="C147" s="17" t="str">
        <f t="shared" si="19"/>
        <v>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v>
      </c>
      <c r="D147" t="str" cm="1">
        <f t="array" ref="D147:H147">_xlfn.TEXTSPLIT(C147,"|")</f>
        <v>Lors d’un appel du PC de télésurveillance pour une alarme intrusion sur votre site, vous devez en premier lieu :</v>
      </c>
      <c r="E147" t="str">
        <v>Noter l’appel sur la main courante ou le cahier de poste</v>
      </c>
      <c r="F147" t="str">
        <v>Confirmer votre identité par un mot de passe</v>
      </c>
      <c r="G147" t="str">
        <v>Confirmer qu’il n’existe aucune anomalie avant d’avoir fait effectuer une levée de doute</v>
      </c>
      <c r="H147" t="str">
        <v>Aucune des réponses précédentes</v>
      </c>
    </row>
    <row r="148" spans="1:9" x14ac:dyDescent="0.25">
      <c r="A148" s="6" t="s">
        <v>1014</v>
      </c>
      <c r="B148" s="17">
        <f t="shared" si="18"/>
        <v>11</v>
      </c>
      <c r="C148" s="17" t="str">
        <f t="shared" si="19"/>
        <v>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v>
      </c>
      <c r="D148" t="str" cm="1">
        <f t="array" ref="D148:I148">_xlfn.TEXTSPLIT(C148,"|")</f>
        <v>Quelles sont les principales qualités d’un système d’alarme ?</v>
      </c>
      <c r="E148" t="str">
        <v>Inviolabilité, compatibilité, pluralité, fiabilité, sécurité négative</v>
      </c>
      <c r="F148" t="str">
        <v>Inviolabilité, compatibilité, pluralité, fébrilité, sécurité négative</v>
      </c>
      <c r="G148" t="str">
        <v>Inviolabilité, compatibilité, pluralité, fiabilité, sécurité positive</v>
      </c>
      <c r="H148" t="str">
        <v>Inviolabilité, comptabilité, pluralité, fiabilité, sécurité positive</v>
      </c>
      <c r="I148" t="str">
        <v>Aucune des réponses précédentes</v>
      </c>
    </row>
    <row r="149" spans="1:9" x14ac:dyDescent="0.25">
      <c r="A149" s="6" t="s">
        <v>1015</v>
      </c>
      <c r="B149" s="17">
        <f t="shared" si="18"/>
        <v>11</v>
      </c>
      <c r="C149" s="17" t="str">
        <f t="shared" si="19"/>
        <v>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v>
      </c>
      <c r="D149" t="str" cm="1">
        <f t="array" ref="D149:I149">_xlfn.TEXTSPLIT(C149,"|")</f>
        <v>Vous êtes en poste au PC sécurité et une Alarme Incendie retentit</v>
      </c>
      <c r="E149" t="str">
        <v>Vous appuyez sur l’évacuation générale pour être certain que tout le monde évacue</v>
      </c>
      <c r="F149" t="str">
        <v>Vous arrêtez immédiatement le signal sonore et réarmez la zone, c’est sûrement rien comme d’habitude</v>
      </c>
      <c r="G149" t="str">
        <v>Vous finissez ce que vous faisiez vous serez toujours à temps d’envoyer le rondier à son retour de ronde</v>
      </c>
      <c r="H149" t="str">
        <v>Vous contactez sur le champ votre collègue pour qu’il effectue immédiatement une levée de doute sur zone</v>
      </c>
      <c r="I149" t="str">
        <v>Aucune des réponses précédentes</v>
      </c>
    </row>
    <row r="150" spans="1:9" x14ac:dyDescent="0.25">
      <c r="A150" s="6" t="s">
        <v>1016</v>
      </c>
      <c r="B150" s="17">
        <f t="shared" si="18"/>
        <v>11</v>
      </c>
      <c r="C150" s="17" t="str">
        <f t="shared" si="19"/>
        <v>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v>
      </c>
      <c r="D150" t="str" cm="1">
        <f t="array" ref="D150:I150">_xlfn.TEXTSPLIT(C150,"|")</f>
        <v>Votre collègue est en ronde, vous êtes en poste au PC et recevez une alarme intrusion, que faites-vous ?</v>
      </c>
      <c r="E150" t="str">
        <v>Vous rejoignez au plus vite votre collègue pour intervenir plus efficacement</v>
      </c>
      <c r="F150" t="str">
        <v>Vous effectuez vous-même la levée de doute</v>
      </c>
      <c r="G150" t="str">
        <v>Vous demandez à votre collègue de se rendre sur le lieu précis de déclenchement de l’alarme pour effectuer la levée de doute</v>
      </c>
      <c r="H150" t="str">
        <v>Vous attendez que votre collègue finisse sa ronde pour intervenir</v>
      </c>
      <c r="I150" t="str">
        <v>Aucune des réponses précédentes</v>
      </c>
    </row>
    <row r="151" spans="1:9" x14ac:dyDescent="0.25">
      <c r="A151" s="6" t="s">
        <v>1017</v>
      </c>
      <c r="B151" s="17">
        <f t="shared" si="18"/>
        <v>11</v>
      </c>
      <c r="C151" s="17" t="str">
        <f t="shared" si="19"/>
        <v>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v>
      </c>
      <c r="D151" t="str" cm="1">
        <f t="array" ref="D151:I151">_xlfn.TEXTSPLIT(C151,"|")</f>
        <v>Vous êtes en poste au PC sécurité et une Alarme Incendie retentit</v>
      </c>
      <c r="E151" t="str">
        <v>Vous finissez ce que vous faisiez vous serez toujours à temps d’envoyer le rondier à son retour de ronde</v>
      </c>
      <c r="F151" t="str">
        <v>Vous appuyez sur l’évacuation générale pour être certain que tout le monde évacue</v>
      </c>
      <c r="G151" t="str">
        <v>Vous arrêtez immédiatement le signal sonore et réarmez la zone, c’est sûrement rien comme d’habitude</v>
      </c>
      <c r="H151" t="str">
        <v>Vous contactez sur le champ votre collègue pour qu’il effectue immédiatement une levée de doute sur zone</v>
      </c>
      <c r="I151" t="str">
        <v>Aucune des réponses précédentes</v>
      </c>
    </row>
    <row r="152" spans="1:9" x14ac:dyDescent="0.25">
      <c r="A152" s="6" t="s">
        <v>1018</v>
      </c>
      <c r="B152" s="17">
        <f t="shared" si="18"/>
        <v>11</v>
      </c>
      <c r="C152" s="17" t="str">
        <f t="shared" si="19"/>
        <v>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v>
      </c>
      <c r="D152" t="str" cm="1">
        <f t="array" ref="D152:I152">_xlfn.TEXTSPLIT(C152,"|")</f>
        <v>Vous êtes en poste, les pompiers arrivent sur le site sinistré. Vous êtes informé que la voie d’accès principale est bloquée par un camion stationné. Que faites-vous en priorité ?</v>
      </c>
      <c r="E152" t="str">
        <v>Je propose aux pompiers d’emprunter un autre accès qui est bien libre</v>
      </c>
      <c r="F152" t="str">
        <v>J’autorise les pompiers à pousser le camion, ils en ont l’obligation</v>
      </c>
      <c r="G152" t="str">
        <v>J’appelle les personnels de l’usine, au point de rassemblement, pour déplacer le véhicule</v>
      </c>
      <c r="H152" t="str">
        <v>J’appelle la Fourrière</v>
      </c>
      <c r="I152" t="str">
        <v>Aucune des réponses précédentes</v>
      </c>
    </row>
    <row r="153" spans="1:9" x14ac:dyDescent="0.25">
      <c r="A153" s="6" t="s">
        <v>1019</v>
      </c>
      <c r="B153" s="17">
        <f t="shared" si="18"/>
        <v>11</v>
      </c>
      <c r="C153" s="17" t="str">
        <f t="shared" si="19"/>
        <v>Lors d’un orage, une coupure de courant intervient, que faites-vous ?|Rien|Réarmer le disjoncteur principal|Vous cherchez les bougies|J’applique les consignes|Aucune des réponses précédentes</v>
      </c>
      <c r="D153" t="str" cm="1">
        <f t="array" ref="D153:I153">_xlfn.TEXTSPLIT(C153,"|")</f>
        <v>Lors d’un orage, une coupure de courant intervient, que faites-vous ?</v>
      </c>
      <c r="E153" t="str">
        <v>Rien</v>
      </c>
      <c r="F153" t="str">
        <v>Réarmer le disjoncteur principal</v>
      </c>
      <c r="G153" t="str">
        <v>Vous cherchez les bougies</v>
      </c>
      <c r="H153" t="str">
        <v>J’applique les consignes</v>
      </c>
      <c r="I153" t="str">
        <v>Aucune des réponses précédentes</v>
      </c>
    </row>
    <row r="154" spans="1:9" x14ac:dyDescent="0.25">
      <c r="A154" s="6" t="s">
        <v>1020</v>
      </c>
      <c r="B154" s="17">
        <f t="shared" si="18"/>
        <v>11</v>
      </c>
      <c r="C154" s="17" t="str">
        <f t="shared" si="19"/>
        <v>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v>
      </c>
      <c r="D154" t="str" cm="1">
        <f t="array" ref="D154:I154">_xlfn.TEXTSPLIT(C154,"|")</f>
        <v>Vous êtes seul sur site lors d’une ronde, vous constatez un incendie, que faites-vous en premier ?</v>
      </c>
      <c r="E154" t="str">
        <v>J’appelle les pompiers</v>
      </c>
      <c r="F154" t="str">
        <v>Je compose le 17</v>
      </c>
      <c r="G154" t="str">
        <v>Je rends compte au PCS et je tente l’extinction</v>
      </c>
      <c r="H154" t="str">
        <v>J’ai obligation de prendre un extincteur pour éteindre l’incendie</v>
      </c>
      <c r="I154" t="str">
        <v>Aucune des réponses précédentes</v>
      </c>
    </row>
    <row r="155" spans="1:9" x14ac:dyDescent="0.25">
      <c r="A155" s="6" t="s">
        <v>1021</v>
      </c>
      <c r="B155" s="17">
        <f t="shared" si="18"/>
        <v>11</v>
      </c>
      <c r="C155" s="17" t="str">
        <f t="shared" si="19"/>
        <v>Le courant est dangereux à partir de :|700 V en courant alternatif|500 V en courant alternatif|50 V en courant alternatif|25 V en courant continu|Aucune des réponses précédentes</v>
      </c>
      <c r="D155" t="str" cm="1">
        <f t="array" ref="D155:I155">_xlfn.TEXTSPLIT(C155,"|")</f>
        <v>Le courant est dangereux à partir de :</v>
      </c>
      <c r="E155" t="str">
        <v>700 V en courant alternatif</v>
      </c>
      <c r="F155" t="str">
        <v>500 V en courant alternatif</v>
      </c>
      <c r="G155" t="str">
        <v>50 V en courant alternatif</v>
      </c>
      <c r="H155" t="str">
        <v>25 V en courant continu</v>
      </c>
      <c r="I155" t="str">
        <v>Aucune des réponses précédentes</v>
      </c>
    </row>
    <row r="156" spans="1:9" x14ac:dyDescent="0.25">
      <c r="A156" s="6" t="s">
        <v>1022</v>
      </c>
      <c r="B156" s="17">
        <f t="shared" si="18"/>
        <v>11</v>
      </c>
      <c r="C156" s="17" t="str">
        <f t="shared" si="19"/>
        <v>Qui délivre l’habilitation électrique ?|L’employeur|Le formateur|Le chargé de travaux|Aucune des réponses précédentes</v>
      </c>
      <c r="D156" t="str" cm="1">
        <f t="array" ref="D156:H156">_xlfn.TEXTSPLIT(C156,"|")</f>
        <v>Qui délivre l’habilitation électrique ?</v>
      </c>
      <c r="E156" t="str">
        <v>L’employeur</v>
      </c>
      <c r="F156" t="str">
        <v>Le formateur</v>
      </c>
      <c r="G156" t="str">
        <v>Le chargé de travaux</v>
      </c>
      <c r="H156" t="str">
        <v>Aucune des réponses précédentes</v>
      </c>
    </row>
    <row r="157" spans="1:9" x14ac:dyDescent="0.25">
      <c r="A157" s="6" t="s">
        <v>1023</v>
      </c>
      <c r="B157" s="17">
        <f t="shared" si="18"/>
        <v>11</v>
      </c>
      <c r="C157" s="17" t="str">
        <f t="shared" si="19"/>
        <v>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v>
      </c>
      <c r="D157" t="str" cm="1">
        <f t="array" ref="D157:I157">_xlfn.TEXTSPLIT(C157,"|")</f>
        <v>Qu’est-ce qu’une alarme restreinte ?</v>
      </c>
      <c r="E157" t="str">
        <v>C’est un signal sonore qui alerte une partie du personnel pour évacuer</v>
      </c>
      <c r="F157" t="str">
        <v>C’est un signal visuel et sonore qui informe le PC pour effectuer une levée de doute</v>
      </c>
      <c r="G157" t="str">
        <v>C’est un signal sonore qui alerte l’ensemble des occupants pour évacuer</v>
      </c>
      <c r="H157" t="str">
        <v>C’est un signal horizontal et vertical qui guide les occupants vers la sortie</v>
      </c>
      <c r="I157" t="str">
        <v>Aucune des réponses précédentes</v>
      </c>
    </row>
    <row r="158" spans="1:9" x14ac:dyDescent="0.25">
      <c r="A158" s="6" t="s">
        <v>1024</v>
      </c>
      <c r="B158" s="17">
        <f t="shared" si="18"/>
        <v>11</v>
      </c>
      <c r="C158" s="17" t="str">
        <f t="shared" si="19"/>
        <v>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v>
      </c>
      <c r="D158" t="str" cm="1">
        <f t="array" ref="D158:I158">_xlfn.TEXTSPLIT(C158,"|")</f>
        <v>Dans une usine en activité, suite à un incendie, une évacuation générale es déclenchée, les pompiers arrivent, agent au PC, que faites-vous en priorité ?</v>
      </c>
      <c r="E158" t="str">
        <v>Je remets les plans d’évacuation parfaitement à jour aux pompiers qui savent où aller</v>
      </c>
      <c r="F158" t="str">
        <v>Je vérifie rapidement les cartes professionnelles des pompiers</v>
      </c>
      <c r="G158" t="str">
        <v>Je dépêche un agent pour les accueillir et les guider</v>
      </c>
      <c r="H158" t="str">
        <v>Je demande aux agents d’utiliser les extincteurs pour maîtriser l’incendie</v>
      </c>
      <c r="I158" t="str">
        <v>Aucune des réponses précédentes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22</vt:i4>
      </vt:variant>
    </vt:vector>
  </HeadingPairs>
  <TitlesOfParts>
    <vt:vector size="25" baseType="lpstr">
      <vt:lpstr>Liste_Questions</vt:lpstr>
      <vt:lpstr>Liste_UV</vt:lpstr>
      <vt:lpstr>Feuil1</vt:lpstr>
      <vt:lpstr>Feuil1!_1x11d5k5io24</vt:lpstr>
      <vt:lpstr>Feuil1!_25b71xk2i301</vt:lpstr>
      <vt:lpstr>Feuil1!_2k99lr79hl9i</vt:lpstr>
      <vt:lpstr>Feuil1!_2utln1nfnqsx</vt:lpstr>
      <vt:lpstr>Feuil1!_62p8mewzupdh</vt:lpstr>
      <vt:lpstr>Feuil1!_6sxpqe84lwy</vt:lpstr>
      <vt:lpstr>Feuil1!_8vd2wc5v9auo</vt:lpstr>
      <vt:lpstr>Feuil1!_atn6jtpgu1zu</vt:lpstr>
      <vt:lpstr>Feuil1!_be1fc6ea00hk</vt:lpstr>
      <vt:lpstr>Feuil1!_e8p5frs5ytai</vt:lpstr>
      <vt:lpstr>Feuil1!_eltq1ml39i8g</vt:lpstr>
      <vt:lpstr>Feuil1!_g70xgby2qf4</vt:lpstr>
      <vt:lpstr>Feuil1!_g9qmie434sne</vt:lpstr>
      <vt:lpstr>Feuil1!_i84ik2pub0j3</vt:lpstr>
      <vt:lpstr>Feuil1!_nyqwx0jkl5qi</vt:lpstr>
      <vt:lpstr>Feuil1!_p9wiu4shs9hc</vt:lpstr>
      <vt:lpstr>Feuil1!_tt764b9auzq8</vt:lpstr>
      <vt:lpstr>Feuil1!_u9haniwxsi9j</vt:lpstr>
      <vt:lpstr>Feuil1!_vk618iff2ee1</vt:lpstr>
      <vt:lpstr>Feuil1!_wpn81467iw0b</vt:lpstr>
      <vt:lpstr>Feuil1!_xgrsy6hezdp9</vt:lpstr>
      <vt:lpstr>Feuil1!_yj4hh6ff2wx9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2025-11-17T14:35:59Z</dcterms:modified>
</cp:coreProperties>
</file>