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573" documentId="13_ncr:1_{2ACE7C71-CCF8-48B7-AEC7-69C3CEDFEA63}" xr6:coauthVersionLast="47" xr6:coauthVersionMax="47" xr10:uidLastSave="{27F6EF0E-C585-4508-8933-3A2DC3DE4906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Liste_Questions!$A$1:$J$325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D23" i="2"/>
  <c r="D24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2" i="2"/>
  <c r="B257" i="3"/>
  <c r="C257" i="3" s="1"/>
  <c r="D257" i="3" s="1" a="1"/>
  <c r="D257" i="3" s="1"/>
  <c r="B256" i="3"/>
  <c r="C256" i="3" s="1"/>
  <c r="D256" i="3" s="1" a="1"/>
  <c r="D256" i="3" s="1"/>
  <c r="B255" i="3"/>
  <c r="C255" i="3" s="1"/>
  <c r="D255" i="3" s="1" a="1"/>
  <c r="D255" i="3" s="1"/>
  <c r="B254" i="3"/>
  <c r="C254" i="3" s="1"/>
  <c r="D254" i="3" s="1" a="1"/>
  <c r="D254" i="3" s="1"/>
  <c r="B253" i="3"/>
  <c r="C253" i="3" s="1"/>
  <c r="D253" i="3" s="1" a="1"/>
  <c r="D253" i="3" s="1"/>
  <c r="B252" i="3"/>
  <c r="C252" i="3" s="1"/>
  <c r="D252" i="3" s="1" a="1"/>
  <c r="D252" i="3" s="1"/>
  <c r="B251" i="3"/>
  <c r="C251" i="3" s="1"/>
  <c r="D251" i="3" s="1" a="1"/>
  <c r="D251" i="3" s="1"/>
  <c r="B250" i="3"/>
  <c r="C250" i="3" s="1"/>
  <c r="D250" i="3" s="1" a="1"/>
  <c r="D250" i="3" s="1"/>
  <c r="B249" i="3"/>
  <c r="C249" i="3" s="1"/>
  <c r="D249" i="3" s="1" a="1"/>
  <c r="D249" i="3" s="1"/>
  <c r="C248" i="3"/>
  <c r="D248" i="3" s="1" a="1"/>
  <c r="D248" i="3" s="1"/>
  <c r="B248" i="3"/>
  <c r="B247" i="3"/>
  <c r="C247" i="3" s="1"/>
  <c r="D247" i="3" s="1" a="1"/>
  <c r="D247" i="3" s="1"/>
  <c r="B246" i="3"/>
  <c r="C246" i="3" s="1"/>
  <c r="D246" i="3" s="1" a="1"/>
  <c r="D246" i="3" s="1"/>
  <c r="B245" i="3"/>
  <c r="C245" i="3" s="1"/>
  <c r="D245" i="3" s="1" a="1"/>
  <c r="D245" i="3" s="1"/>
  <c r="B244" i="3"/>
  <c r="C244" i="3" s="1"/>
  <c r="D244" i="3" s="1" a="1"/>
  <c r="D244" i="3" s="1"/>
  <c r="B243" i="3"/>
  <c r="C243" i="3" s="1"/>
  <c r="D243" i="3" s="1" a="1"/>
  <c r="D243" i="3" s="1"/>
  <c r="B242" i="3"/>
  <c r="C242" i="3" s="1"/>
  <c r="D242" i="3" s="1" a="1"/>
  <c r="D242" i="3" s="1"/>
  <c r="B241" i="3"/>
  <c r="C241" i="3" s="1"/>
  <c r="D241" i="3" s="1" a="1"/>
  <c r="D241" i="3" s="1"/>
  <c r="B240" i="3"/>
  <c r="C240" i="3" s="1"/>
  <c r="D240" i="3" s="1" a="1"/>
  <c r="D240" i="3" s="1"/>
  <c r="B239" i="3"/>
  <c r="C239" i="3" s="1"/>
  <c r="D239" i="3" s="1" a="1"/>
  <c r="D239" i="3" s="1"/>
  <c r="B238" i="3"/>
  <c r="C238" i="3" s="1"/>
  <c r="D238" i="3" s="1" a="1"/>
  <c r="D238" i="3" s="1"/>
  <c r="B237" i="3"/>
  <c r="C237" i="3" s="1"/>
  <c r="D237" i="3" s="1" a="1"/>
  <c r="D237" i="3" s="1"/>
  <c r="B236" i="3"/>
  <c r="C236" i="3" s="1"/>
  <c r="D236" i="3" s="1" a="1"/>
  <c r="D236" i="3" s="1"/>
  <c r="B235" i="3"/>
  <c r="C235" i="3" s="1"/>
  <c r="D235" i="3" s="1" a="1"/>
  <c r="D235" i="3" s="1"/>
  <c r="B234" i="3"/>
  <c r="C234" i="3" s="1"/>
  <c r="D234" i="3" s="1" a="1"/>
  <c r="D234" i="3" s="1"/>
  <c r="B233" i="3"/>
  <c r="C233" i="3" s="1"/>
  <c r="D233" i="3" s="1" a="1"/>
  <c r="D233" i="3" s="1"/>
  <c r="B232" i="3"/>
  <c r="C232" i="3" s="1"/>
  <c r="D232" i="3" s="1" a="1"/>
  <c r="D232" i="3" s="1"/>
  <c r="B231" i="3"/>
  <c r="C231" i="3" s="1"/>
  <c r="D231" i="3" s="1" a="1"/>
  <c r="D231" i="3" s="1"/>
  <c r="B230" i="3"/>
  <c r="C230" i="3" s="1"/>
  <c r="D230" i="3" s="1" a="1"/>
  <c r="D230" i="3" s="1"/>
  <c r="B229" i="3"/>
  <c r="C229" i="3" s="1"/>
  <c r="D229" i="3" s="1" a="1"/>
  <c r="D229" i="3" s="1"/>
  <c r="B228" i="3"/>
  <c r="C228" i="3" s="1"/>
  <c r="D228" i="3" s="1" a="1"/>
  <c r="D228" i="3" s="1"/>
  <c r="B227" i="3"/>
  <c r="C227" i="3" s="1"/>
  <c r="D227" i="3" s="1" a="1"/>
  <c r="D227" i="3" s="1"/>
  <c r="B226" i="3"/>
  <c r="C226" i="3" s="1"/>
  <c r="D226" i="3" s="1" a="1"/>
  <c r="D226" i="3" s="1"/>
  <c r="B225" i="3"/>
  <c r="C225" i="3" s="1"/>
  <c r="D225" i="3" s="1" a="1"/>
  <c r="D225" i="3" s="1"/>
  <c r="B224" i="3"/>
  <c r="C224" i="3" s="1"/>
  <c r="D224" i="3" s="1" a="1"/>
  <c r="D224" i="3" s="1"/>
  <c r="B223" i="3"/>
  <c r="C223" i="3" s="1"/>
  <c r="D223" i="3" s="1" a="1"/>
  <c r="D223" i="3" s="1"/>
  <c r="B222" i="3"/>
  <c r="C222" i="3" s="1"/>
  <c r="D222" i="3" s="1" a="1"/>
  <c r="D222" i="3" s="1"/>
  <c r="B221" i="3"/>
  <c r="C221" i="3" s="1"/>
  <c r="D221" i="3" s="1" a="1"/>
  <c r="D221" i="3" s="1"/>
  <c r="B220" i="3"/>
  <c r="C220" i="3" s="1"/>
  <c r="D220" i="3" s="1" a="1"/>
  <c r="D220" i="3" s="1"/>
  <c r="B219" i="3"/>
  <c r="C219" i="3" s="1"/>
  <c r="D219" i="3" s="1" a="1"/>
  <c r="D219" i="3" s="1"/>
  <c r="B218" i="3"/>
  <c r="C218" i="3" s="1"/>
  <c r="D218" i="3" s="1" a="1"/>
  <c r="D218" i="3" s="1"/>
  <c r="B217" i="3"/>
  <c r="C217" i="3" s="1"/>
  <c r="D217" i="3" s="1" a="1"/>
  <c r="D217" i="3" s="1"/>
  <c r="B216" i="3"/>
  <c r="C216" i="3" s="1"/>
  <c r="D216" i="3" s="1" a="1"/>
  <c r="D216" i="3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" i="2"/>
  <c r="B161" i="3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<sst xmlns="http://schemas.openxmlformats.org/spreadsheetml/2006/main" count="3244" uniqueCount="1791">
  <si>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</si>
  <si>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</si>
  <si>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</si>
  <si>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</si>
  <si>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</si>
  <si>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</si>
  <si>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</si>
  <si>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</si>
  <si>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</si>
  <si>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</si>
  <si>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</si>
  <si>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</si>
  <si>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</si>
  <si>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</si>
  <si>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</si>
  <si>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</si>
  <si>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</si>
  <si>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</si>
  <si>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</si>
  <si>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</si>
  <si>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</si>
  <si>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</si>
  <si>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</si>
  <si>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</si>
  <si>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</si>
  <si>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</si>
  <si>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</si>
  <si>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</si>
  <si>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</si>
  <si>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</si>
  <si>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</si>
  <si>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</si>
  <si>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</si>
  <si>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</si>
  <si>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</si>
  <si>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</si>
  <si>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</si>
  <si>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</si>
  <si>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</si>
  <si>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</si>
  <si>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</si>
  <si>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</si>
  <si>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</si>
  <si>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</si>
  <si>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</si>
  <si>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</si>
  <si>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</si>
  <si>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</si>
  <si>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</si>
  <si>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</si>
  <si>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</si>
  <si>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</si>
  <si>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</si>
  <si>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</si>
  <si>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</si>
  <si>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</si>
  <si>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</si>
  <si>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</si>
  <si>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</si>
  <si>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</si>
  <si>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</si>
  <si>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</si>
  <si>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</si>
  <si>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</si>
  <si>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</si>
  <si>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</si>
  <si>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</si>
  <si>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</si>
  <si>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</si>
  <si>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</si>
  <si>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</si>
  <si>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</si>
  <si>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</si>
  <si>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</si>
  <si>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</si>
  <si>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</si>
  <si>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</si>
  <si>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</si>
  <si>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</si>
  <si>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</si>
  <si>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</si>
  <si>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</si>
  <si>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</si>
  <si>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</si>
  <si>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</si>
  <si>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</si>
  <si>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</si>
  <si>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</si>
  <si>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</si>
  <si>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</si>
  <si>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</si>
  <si>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</si>
  <si>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</si>
  <si>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</si>
  <si>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</si>
  <si>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</si>
  <si>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</si>
  <si>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</si>
  <si>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</si>
  <si>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</si>
  <si>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</si>
  <si>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</si>
  <si>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</si>
  <si>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</si>
  <si>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</si>
  <si>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</si>
  <si>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</si>
  <si>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</si>
  <si>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</si>
  <si>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</si>
  <si>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</si>
  <si>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</si>
  <si>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</si>
  <si>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</si>
  <si>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</si>
  <si>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</si>
  <si>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</si>
  <si>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</si>
  <si>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</si>
  <si>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</si>
  <si>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</si>
  <si>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</si>
  <si>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</si>
  <si>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</si>
  <si>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</si>
  <si>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</si>
  <si>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</si>
  <si>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</si>
  <si>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</si>
  <si>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</si>
  <si>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</si>
  <si>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</si>
  <si>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</si>
  <si>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</si>
  <si>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</si>
  <si>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</si>
  <si>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</si>
  <si>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</si>
  <si>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</si>
  <si>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</si>
  <si>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</si>
  <si>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</si>
  <si>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</si>
  <si>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</si>
  <si>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</si>
  <si>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</si>
  <si>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</si>
  <si>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</si>
  <si>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</si>
  <si>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</si>
  <si>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</si>
  <si>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</si>
  <si>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</si>
  <si>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</si>
  <si>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</si>
  <si>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</si>
  <si>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</si>
  <si>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</si>
  <si>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</si>
  <si>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</si>
  <si>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</si>
  <si>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</si>
  <si>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</si>
  <si>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</si>
  <si>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</si>
  <si>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</si>
  <si>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</si>
  <si>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</si>
  <si>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</si>
  <si>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</si>
  <si>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</si>
  <si>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</si>
  <si>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</si>
  <si>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</si>
  <si>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</si>
  <si>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</si>
  <si>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</si>
  <si>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</si>
  <si>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</si>
  <si>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</si>
  <si>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</si>
  <si>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</si>
  <si>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</si>
  <si>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</si>
  <si>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</si>
  <si>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</si>
  <si>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</si>
  <si>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</si>
  <si>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</si>
  <si>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</si>
  <si>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</si>
  <si>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</si>
  <si>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</si>
  <si>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</si>
  <si>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</si>
  <si>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</si>
  <si>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</si>
  <si>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</si>
  <si>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</si>
  <si>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</si>
  <si>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</si>
  <si>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</si>
  <si>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</si>
  <si>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</si>
  <si>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</si>
  <si>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</si>
  <si>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</si>
  <si>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</si>
  <si>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</si>
  <si>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</si>
  <si>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</si>
  <si>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</si>
  <si>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</si>
  <si>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</si>
  <si>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</si>
  <si>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</si>
  <si>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</si>
  <si>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</si>
  <si>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</si>
  <si>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</si>
  <si>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</si>
  <si>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</si>
  <si>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</si>
  <si>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</si>
  <si>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</si>
  <si>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</si>
  <si>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</si>
  <si>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</si>
  <si>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</si>
  <si>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</si>
  <si>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</si>
  <si>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</si>
  <si>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</si>
  <si>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</si>
  <si>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</si>
  <si>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</si>
  <si>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</si>
  <si>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</si>
  <si>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</si>
  <si>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</si>
  <si>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Module secourisme</t>
  </si>
  <si>
    <t>Module environnement juridique</t>
  </si>
  <si>
    <t>Module gestion des conflits</t>
  </si>
  <si>
    <t>Module stratégique</t>
  </si>
  <si>
    <t>Module prévention des risques d’incendie</t>
  </si>
  <si>
    <t>Module d’appréhension au cours de l’exercice du métier</t>
  </si>
  <si>
    <t>Module sensibilisation aux risques terroristes, réagir face à une attaque, secourir</t>
  </si>
  <si>
    <t>Module professionnel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</si>
  <si>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</si>
  <si>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</si>
  <si>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</si>
  <si>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</si>
  <si>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</si>
  <si>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</si>
  <si>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</si>
  <si>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</si>
  <si>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</si>
  <si>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</si>
  <si>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</si>
  <si>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</si>
  <si>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</si>
  <si>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</si>
  <si>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</si>
  <si>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</si>
  <si>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</si>
  <si>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</si>
  <si>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</si>
  <si>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</si>
  <si>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</si>
  <si>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</si>
  <si>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</si>
  <si>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</si>
  <si>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</si>
  <si>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</si>
  <si>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</si>
  <si>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</si>
  <si>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</si>
  <si>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</si>
  <si>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</si>
  <si>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</si>
  <si>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</si>
  <si>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</si>
  <si>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</si>
  <si>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</si>
  <si>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</si>
  <si>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</si>
  <si>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</si>
  <si>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</si>
  <si>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</si>
  <si>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</si>
  <si>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</si>
  <si>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</si>
  <si>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</si>
  <si>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</si>
  <si>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</si>
  <si>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</si>
  <si>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</si>
  <si>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</si>
  <si>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</si>
  <si>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</si>
  <si>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</si>
  <si>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</si>
  <si>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</si>
  <si>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</si>
  <si>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</si>
  <si>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</si>
  <si>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</si>
  <si>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</si>
  <si>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</si>
  <si>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</si>
  <si>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</si>
  <si>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</si>
  <si>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</si>
  <si>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</si>
  <si>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</si>
  <si>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</si>
  <si>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</si>
  <si>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</si>
  <si>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</si>
  <si>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</si>
  <si>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</si>
  <si>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</si>
  <si>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</si>
  <si>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</si>
  <si>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</si>
  <si>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</si>
  <si>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</si>
  <si>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</si>
  <si>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</si>
  <si>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</si>
  <si>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</si>
  <si>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</si>
  <si>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</si>
  <si>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</si>
  <si>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</si>
  <si>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</si>
  <si>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</si>
  <si>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</si>
  <si>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</si>
  <si>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</si>
  <si>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</si>
  <si>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</si>
  <si>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</si>
  <si>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</si>
  <si>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</si>
  <si>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</si>
  <si>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</si>
  <si>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</si>
  <si>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</si>
  <si>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</si>
  <si>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</si>
  <si>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</si>
  <si>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</si>
  <si>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</si>
  <si>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</si>
  <si>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</si>
  <si>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</si>
  <si>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</si>
  <si>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</si>
  <si>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</si>
  <si>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</si>
  <si>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</si>
  <si>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</si>
  <si>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</si>
  <si>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</si>
  <si>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</si>
  <si>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</si>
  <si>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</si>
  <si>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</si>
  <si>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</si>
  <si>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</si>
  <si>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</si>
  <si>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</si>
  <si>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</si>
  <si>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</si>
  <si>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</si>
  <si>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</si>
  <si>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</si>
  <si>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</si>
  <si>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</si>
  <si>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</si>
  <si>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</si>
  <si>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</si>
  <si>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</si>
  <si>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</si>
  <si>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</si>
  <si>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</si>
  <si>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</si>
  <si>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</si>
  <si>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</si>
  <si>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</si>
  <si>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</si>
  <si>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</si>
  <si>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</si>
  <si>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</si>
  <si>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</si>
  <si>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</si>
  <si>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</si>
  <si>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</si>
  <si>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</si>
  <si>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</si>
  <si>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</si>
  <si>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</si>
  <si>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</si>
  <si>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</si>
  <si>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</si>
  <si>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</si>
  <si>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</si>
  <si>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</si>
  <si>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</si>
  <si>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</si>
  <si>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</si>
  <si>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</si>
  <si>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</si>
  <si>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</si>
  <si>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</si>
  <si>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</si>
  <si>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</si>
  <si>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</si>
  <si>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</si>
  <si>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</si>
  <si>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</si>
  <si>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</si>
  <si>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</si>
  <si>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</si>
  <si>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</si>
  <si>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</si>
  <si>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</si>
  <si>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</si>
  <si>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</si>
  <si>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</si>
  <si>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</si>
  <si>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</si>
  <si>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</si>
  <si>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</si>
  <si>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</si>
  <si>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</si>
  <si>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</si>
  <si>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</si>
  <si>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</si>
  <si>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</si>
  <si>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</si>
  <si>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</si>
  <si>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</si>
  <si>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</si>
  <si>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</si>
  <si>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</si>
  <si>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</si>
  <si>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</si>
  <si>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</si>
  <si>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</si>
  <si>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</si>
  <si>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</si>
  <si>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</si>
  <si>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</si>
  <si>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</si>
  <si>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</si>
  <si>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</si>
  <si>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</si>
  <si>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</si>
  <si>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</si>
  <si>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</si>
  <si>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</si>
  <si>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</si>
  <si>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</si>
  <si>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</si>
  <si>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</si>
  <si>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</si>
  <si>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</si>
  <si>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</si>
  <si>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</si>
  <si>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</si>
  <si>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</si>
  <si>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</si>
  <si>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</si>
  <si>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</si>
  <si>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</si>
  <si>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</si>
  <si>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</si>
  <si>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</si>
  <si>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</si>
  <si>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</si>
  <si>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</si>
  <si>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</si>
  <si>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</si>
  <si>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</si>
  <si>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</si>
  <si>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</si>
  <si>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</si>
  <si>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</si>
  <si>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</si>
  <si>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</si>
  <si>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</si>
  <si>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</si>
  <si>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</si>
  <si>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</si>
  <si>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</si>
  <si>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</si>
  <si>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</si>
  <si>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</si>
  <si>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</si>
  <si>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</si>
  <si>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</si>
  <si>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</si>
  <si>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</si>
  <si>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</si>
  <si>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</si>
  <si>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</si>
  <si>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</si>
  <si>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</si>
  <si>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</si>
  <si>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</si>
  <si>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</si>
  <si>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</si>
  <si>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</si>
  <si>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</si>
  <si>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</si>
  <si>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</si>
  <si>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</si>
  <si>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</si>
  <si>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</si>
  <si>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</si>
  <si>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</si>
  <si>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</si>
  <si>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</si>
  <si>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</si>
  <si>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</si>
  <si>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</si>
  <si>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</si>
  <si>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</si>
  <si>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</si>
  <si>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</si>
  <si>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</si>
  <si>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</si>
  <si>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</si>
  <si>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</si>
  <si>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</si>
  <si>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</si>
  <si>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</si>
  <si>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</si>
  <si>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</si>
  <si>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</si>
  <si>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</si>
  <si>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</si>
  <si>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</si>
  <si>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</si>
  <si>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</si>
  <si>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</si>
  <si>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</si>
  <si>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</si>
  <si>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</si>
  <si>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</si>
  <si>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</si>
  <si>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</si>
  <si>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</si>
  <si>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</si>
  <si>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</si>
  <si>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</si>
  <si>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</si>
  <si>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</si>
  <si>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</si>
  <si>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</si>
  <si>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</si>
  <si>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</si>
  <si>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</si>
  <si>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</si>
  <si>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</si>
  <si>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</si>
  <si>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</si>
  <si>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</si>
  <si>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</si>
  <si>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</si>
  <si>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</si>
  <si>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</si>
  <si>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</si>
  <si>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</si>
  <si>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</si>
  <si>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</si>
  <si>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</si>
  <si>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</si>
  <si>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</si>
  <si>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</si>
  <si>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</si>
  <si>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</si>
  <si>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</si>
  <si>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</si>
  <si>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</si>
  <si>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</si>
  <si>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</si>
  <si>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</si>
  <si>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</si>
  <si>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</si>
  <si>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</si>
  <si>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</si>
  <si>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</si>
  <si>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</si>
  <si>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</si>
  <si>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</si>
  <si>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</si>
  <si>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</si>
  <si>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</si>
  <si>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</si>
  <si>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</si>
  <si>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</si>
  <si>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</si>
  <si>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</si>
  <si>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</si>
  <si>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</si>
  <si>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</si>
  <si>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</si>
  <si>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</si>
  <si>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</si>
  <si>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</si>
  <si>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</si>
  <si>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</si>
  <si>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</si>
  <si>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</si>
  <si>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</si>
  <si>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</si>
  <si>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</si>
  <si>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</si>
  <si>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</si>
  <si>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</si>
  <si>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</si>
  <si>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</si>
  <si>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</si>
  <si>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</si>
  <si>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</si>
  <si>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</si>
  <si>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</si>
  <si>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</si>
  <si>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</si>
  <si>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</si>
  <si>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</si>
  <si>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</si>
  <si>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</si>
  <si>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</si>
  <si>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</si>
  <si>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</si>
  <si>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</si>
  <si>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</si>
  <si>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</si>
  <si>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</si>
  <si>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</si>
  <si>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</si>
  <si>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</si>
  <si>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</si>
  <si>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</si>
  <si>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</si>
  <si>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</si>
  <si>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</si>
  <si>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</si>
  <si>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</si>
  <si>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</si>
  <si>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</si>
  <si>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</si>
  <si>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</si>
  <si>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</si>
  <si>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</si>
  <si>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</si>
  <si>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</si>
  <si>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</si>
  <si>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</si>
  <si>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</si>
  <si>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</si>
  <si>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</si>
  <si>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</si>
  <si>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</si>
  <si>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</si>
  <si>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</si>
  <si>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</si>
  <si>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</si>
  <si>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</si>
  <si>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</si>
  <si>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</si>
  <si>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</si>
  <si>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</si>
  <si>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</si>
  <si>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</si>
  <si>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</si>
  <si>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</si>
  <si>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</si>
  <si>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</si>
  <si>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</si>
  <si>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</si>
  <si>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</si>
  <si>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</si>
  <si>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</si>
  <si>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</si>
  <si>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</si>
  <si>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</si>
  <si>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</si>
  <si>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</si>
  <si>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</si>
  <si>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</si>
  <si>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</si>
  <si>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</si>
  <si>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</si>
  <si>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</si>
  <si>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</si>
  <si>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</si>
  <si>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</si>
  <si>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</si>
  <si>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</si>
  <si>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</si>
  <si>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</si>
  <si>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</si>
  <si>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</si>
  <si>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</si>
  <si>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</si>
  <si>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</si>
  <si>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</si>
  <si>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</si>
  <si>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</si>
  <si>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</si>
  <si>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</si>
  <si>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</si>
  <si>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</si>
  <si>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</si>
  <si>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</si>
  <si>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</si>
  <si>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</si>
  <si>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</si>
  <si>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</si>
  <si>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</si>
  <si>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</si>
  <si>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</si>
  <si>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</si>
  <si>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</si>
  <si>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</si>
  <si>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</si>
  <si>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</si>
  <si>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</si>
  <si>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</si>
  <si>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</si>
  <si>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</si>
  <si>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</si>
  <si>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</si>
  <si>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</si>
  <si>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</si>
  <si>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</si>
  <si>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</si>
  <si>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</si>
  <si>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</si>
  <si>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</si>
  <si>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</si>
  <si>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</si>
  <si>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</si>
  <si>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</si>
  <si>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</si>
  <si>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</si>
  <si>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</si>
  <si>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</si>
  <si>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</si>
  <si>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</si>
  <si>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</si>
  <si>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</si>
  <si>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</si>
  <si>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</si>
  <si>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</si>
  <si>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</si>
  <si>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</si>
  <si>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</si>
  <si>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</si>
  <si>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</si>
  <si>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</si>
  <si>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</si>
  <si>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</si>
  <si>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</si>
  <si>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</si>
  <si>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</si>
  <si>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</si>
  <si>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</si>
  <si>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</si>
  <si>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</si>
  <si>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</si>
  <si>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</si>
  <si>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</si>
  <si>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</si>
  <si>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</si>
  <si>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</si>
  <si>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</si>
  <si>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</si>
  <si>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</si>
  <si>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</si>
  <si>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</si>
  <si>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</si>
  <si>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</si>
  <si>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</si>
  <si>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</si>
  <si>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</si>
  <si>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</si>
  <si>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</si>
  <si>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</si>
  <si>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</si>
  <si>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</si>
  <si>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</si>
  <si>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</si>
  <si>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</si>
  <si>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</si>
  <si>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</si>
  <si>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</si>
  <si>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</si>
  <si>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</si>
  <si>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</si>
  <si>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</si>
  <si>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</si>
  <si>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</si>
  <si>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</si>
  <si>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</si>
  <si>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</si>
  <si>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</si>
  <si>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</si>
  <si>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</si>
  <si>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</si>
  <si>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</si>
  <si>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</si>
  <si>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</si>
  <si>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</si>
  <si>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</si>
  <si>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</si>
  <si>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</si>
  <si>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</si>
  <si>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</si>
  <si>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</si>
  <si>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</si>
  <si>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</si>
  <si>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</si>
  <si>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</si>
  <si>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</si>
  <si>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</si>
  <si>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</si>
  <si>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</si>
  <si>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</si>
  <si>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</si>
  <si>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</si>
  <si>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</si>
  <si>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</si>
  <si>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</si>
  <si>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</si>
  <si>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</si>
  <si>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</si>
  <si>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</si>
  <si>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</si>
  <si>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</si>
  <si>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</si>
  <si>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</si>
  <si>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</si>
  <si>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</si>
  <si>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</si>
  <si>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</si>
  <si>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</si>
  <si>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</si>
  <si>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</si>
  <si>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</si>
  <si>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</si>
  <si>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</si>
  <si>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</si>
  <si>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</si>
  <si>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</si>
  <si>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</si>
  <si>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</si>
  <si>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</si>
  <si>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</si>
  <si>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</si>
  <si>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</si>
  <si>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</si>
  <si>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</si>
  <si>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</si>
  <si>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</si>
  <si>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</si>
  <si>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</si>
  <si>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</si>
  <si>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</si>
  <si>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</si>
  <si>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</si>
  <si>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</si>
  <si>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</si>
  <si>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</si>
  <si>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</si>
  <si>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</si>
  <si>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</si>
  <si>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</si>
  <si>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</si>
  <si>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</si>
  <si>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</si>
  <si>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</si>
  <si>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</si>
  <si>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</si>
  <si>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</si>
  <si>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</si>
  <si>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</si>
  <si>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</si>
  <si>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</si>
  <si>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</si>
  <si>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</si>
  <si>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</si>
  <si>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</si>
  <si>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</si>
  <si>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</si>
  <si>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</si>
  <si>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</si>
  <si>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</si>
  <si>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</si>
  <si>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</si>
  <si>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</si>
  <si>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</si>
  <si>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</si>
  <si>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</si>
  <si>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</si>
  <si>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</si>
  <si>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</si>
  <si>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</si>
  <si>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</si>
  <si>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</si>
  <si>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</si>
  <si>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</si>
  <si>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</si>
  <si>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</si>
  <si>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</si>
  <si>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</si>
  <si>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</si>
  <si>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</si>
  <si>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</si>
  <si>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</si>
  <si>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</si>
  <si>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</si>
  <si>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</si>
  <si>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</si>
  <si>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</si>
  <si>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</si>
  <si>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</si>
  <si>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</si>
  <si>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</si>
  <si>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</si>
  <si>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</si>
  <si>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</si>
  <si>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</si>
  <si>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</si>
  <si>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</si>
  <si>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</si>
  <si>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</si>
  <si>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</si>
  <si>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</si>
  <si>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</si>
  <si>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</si>
  <si>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</si>
  <si>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</si>
  <si>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</si>
  <si>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</si>
  <si>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</si>
  <si>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</si>
  <si>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</si>
  <si>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</si>
  <si>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</si>
  <si>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</si>
  <si>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</si>
  <si>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</si>
  <si>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</si>
  <si>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</si>
  <si>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</si>
  <si>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</si>
  <si>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</si>
  <si>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</si>
  <si>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</si>
  <si>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</si>
  <si>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</si>
  <si>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</si>
  <si>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</si>
  <si>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</si>
  <si>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</si>
  <si>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</si>
  <si>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</si>
  <si>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</si>
  <si>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</si>
  <si>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</si>
  <si>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</si>
  <si>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</si>
  <si>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</si>
  <si>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</si>
  <si>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</si>
  <si>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</si>
  <si>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</si>
  <si>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</si>
  <si>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</si>
  <si>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</si>
  <si>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</si>
  <si>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</si>
  <si>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</si>
  <si>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</si>
  <si>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</si>
  <si>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</si>
  <si>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</si>
  <si>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</si>
  <si>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</si>
  <si>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</si>
  <si>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</si>
  <si>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</si>
  <si>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</si>
  <si>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</si>
  <si>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</si>
  <si>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</si>
  <si>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</si>
  <si>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</si>
  <si>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</si>
  <si>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</si>
  <si>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</si>
  <si>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</si>
  <si>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</si>
  <si>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</si>
  <si>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</si>
  <si>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</si>
  <si>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</si>
  <si>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</si>
  <si>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</si>
  <si>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</si>
  <si>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</si>
  <si>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</si>
  <si>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</si>
  <si>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</si>
  <si>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</si>
  <si>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</si>
  <si>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</si>
  <si>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</si>
  <si>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</si>
  <si>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</si>
  <si>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</si>
  <si>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</si>
  <si>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</si>
  <si>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</si>
  <si>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</si>
  <si>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</si>
  <si>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</si>
  <si>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</si>
  <si>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</si>
  <si>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</si>
  <si>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</si>
  <si>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</si>
  <si>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</si>
  <si>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</si>
  <si>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</si>
  <si>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</si>
  <si>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</si>
  <si>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</si>
  <si>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</si>
  <si>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</si>
  <si>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</si>
  <si>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</si>
  <si>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</si>
  <si>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</si>
  <si>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</si>
  <si>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</si>
  <si>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</si>
  <si>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</si>
  <si>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</si>
  <si>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</si>
  <si>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</si>
  <si>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</si>
  <si>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</si>
  <si>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</si>
  <si>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</si>
  <si>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</si>
  <si>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</si>
  <si>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</si>
  <si>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</si>
  <si>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</si>
  <si>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</si>
  <si>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</si>
  <si>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</si>
  <si>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</si>
  <si>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</si>
  <si>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</si>
  <si>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</si>
  <si>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</si>
  <si>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</si>
  <si>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</si>
  <si>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</si>
  <si>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</si>
  <si>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</si>
  <si>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</si>
  <si>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</si>
  <si>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</si>
  <si>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</si>
  <si>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</si>
  <si>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</si>
  <si>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</si>
  <si>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</si>
  <si>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</si>
  <si>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</si>
  <si>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</si>
  <si>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</si>
  <si>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</si>
  <si>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</si>
  <si>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</si>
  <si>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</si>
  <si>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</si>
  <si>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</si>
  <si>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</si>
  <si>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</si>
  <si>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</si>
  <si>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</si>
  <si>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</si>
  <si>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</si>
  <si>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</si>
  <si>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</si>
  <si>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</si>
  <si>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</si>
  <si>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</si>
  <si>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</si>
  <si>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</si>
  <si>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</si>
  <si>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</si>
  <si>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</si>
  <si>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</si>
  <si>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</si>
  <si>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</si>
  <si>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</si>
  <si>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</si>
  <si>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</si>
  <si>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</si>
  <si>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</si>
  <si>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</si>
  <si>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</si>
  <si>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</si>
  <si>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</si>
  <si>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</si>
  <si>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</si>
  <si>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</si>
  <si>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</si>
  <si>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</si>
  <si>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</si>
  <si>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</si>
  <si>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</si>
  <si>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</si>
  <si>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</si>
  <si>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</si>
  <si>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</si>
  <si>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</si>
  <si>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</si>
  <si>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</si>
  <si>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</si>
  <si>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</si>
  <si>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</si>
  <si>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</si>
  <si>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</si>
  <si>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</si>
  <si>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</si>
  <si>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</si>
  <si>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</si>
  <si>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</si>
  <si>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</si>
  <si>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</si>
  <si>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</si>
  <si>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</si>
  <si>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</si>
  <si>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</si>
  <si>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</si>
  <si>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</si>
  <si>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</si>
  <si>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</si>
  <si>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</si>
  <si>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</si>
  <si>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</si>
  <si>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</si>
  <si>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</si>
  <si>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</si>
  <si>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</si>
  <si>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</si>
  <si>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</si>
  <si>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</si>
  <si>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</si>
  <si>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</si>
  <si>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</si>
  <si>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</si>
  <si>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</si>
  <si>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</si>
  <si>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</si>
  <si>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</si>
  <si>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</si>
  <si>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</si>
  <si>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</si>
  <si>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</si>
  <si>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</si>
  <si>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</si>
  <si>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</si>
  <si>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</si>
  <si>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</si>
  <si>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</si>
  <si>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</si>
  <si>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</si>
  <si>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</si>
  <si>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</si>
  <si>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</si>
  <si>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</si>
  <si>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</si>
  <si>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</si>
  <si>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</si>
  <si>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</si>
  <si>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</si>
  <si>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</si>
  <si>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</si>
  <si>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</si>
  <si>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</si>
  <si>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</si>
  <si>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</si>
  <si>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</si>
  <si>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</si>
  <si>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</si>
  <si>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</si>
  <si>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</si>
  <si>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</si>
  <si>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</si>
  <si>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</si>
  <si>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</si>
  <si>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</si>
  <si>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</si>
  <si>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</si>
  <si>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</si>
  <si>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</si>
  <si>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</si>
  <si>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</si>
  <si>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</si>
  <si>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</si>
  <si>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</si>
  <si>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</si>
  <si>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</si>
  <si>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</si>
  <si>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</si>
  <si>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</si>
  <si>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</si>
  <si>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</si>
  <si>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</si>
  <si>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</si>
  <si>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</si>
  <si>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</si>
  <si>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</si>
  <si>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</si>
  <si>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</si>
  <si>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</si>
  <si>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</si>
  <si>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</si>
  <si>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</si>
  <si>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</si>
  <si>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</si>
  <si>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</si>
  <si>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</si>
  <si>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</si>
  <si>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</si>
  <si>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</si>
  <si>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</si>
  <si>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Une explosion (Blast primaire)</t>
  </si>
  <si>
    <t>Une perforation par une côte</t>
  </si>
  <si>
    <t>Une plaie pénétrante par arme blanche</t>
  </si>
  <si>
    <t>Une plaie pénétrante par balle</t>
  </si>
  <si>
    <t>La délation</t>
  </si>
  <si>
    <t>L’abus de droit public</t>
  </si>
  <si>
    <t>La rébellion</t>
  </si>
  <si>
    <t>Le sabotage</t>
  </si>
  <si>
    <t>La violation de domicile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</si>
  <si>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</si>
  <si>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</si>
  <si>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</si>
  <si>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</si>
  <si>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</si>
  <si>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</si>
  <si>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</si>
  <si>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</si>
  <si>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</si>
  <si>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</si>
  <si>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</si>
  <si>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</si>
  <si>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</si>
  <si>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</si>
  <si>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</si>
  <si>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</si>
  <si>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</si>
  <si>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</si>
  <si>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</si>
  <si>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</si>
  <si>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</si>
  <si>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</si>
  <si>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</si>
  <si>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</si>
  <si>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</si>
  <si>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</si>
  <si>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Son comportement</t>
  </si>
  <si>
    <t>La pratique de sa religion</t>
  </si>
  <si>
    <t>Ses antécédents judiciaires</t>
  </si>
  <si>
    <t>Son apparence physique</t>
  </si>
  <si>
    <t>La zone de prise en charge par les secours</t>
  </si>
  <si>
    <t>La zone de danger et d’intervention</t>
  </si>
  <si>
    <t>La zone de commandement des forces de l’ordre</t>
  </si>
  <si>
    <t>Crime terroriste</t>
  </si>
  <si>
    <t>Délit qualifié</t>
  </si>
  <si>
    <t>Délit aggravé</t>
  </si>
  <si>
    <t>Crime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</si>
  <si>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</si>
  <si>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</si>
  <si>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</si>
  <si>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</si>
  <si>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</si>
  <si>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</si>
  <si>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</si>
  <si>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</si>
  <si>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</si>
  <si>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</si>
  <si>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</si>
  <si>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</si>
  <si>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de circulation des riverains lors des événement culturels ou festifs</t>
  </si>
  <si>
    <t>Un plan d’intervention coordonné des forces de l’ordre publiques et privées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</si>
  <si>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</si>
  <si>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</si>
  <si>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</si>
  <si>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</si>
  <si>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</si>
  <si>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</si>
  <si>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</si>
  <si>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</si>
  <si>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</si>
  <si>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</si>
  <si>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</si>
  <si>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</si>
  <si>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</si>
  <si>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</si>
  <si>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</si>
  <si>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</si>
  <si>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</si>
  <si>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</si>
  <si>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</si>
  <si>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</si>
  <si>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</si>
  <si>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</si>
  <si>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</si>
  <si>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</si>
  <si>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Courir, m'enfermer, appeler, attaquer si nécessaire</t>
  </si>
  <si>
    <t>M’échapper, me cacher, secourir, combattre systématiquement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</si>
  <si>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</si>
  <si>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</si>
  <si>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</si>
  <si>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</si>
  <si>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</si>
  <si>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</si>
  <si>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</si>
  <si>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</si>
  <si>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</si>
  <si>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</si>
  <si>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</si>
  <si>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</si>
  <si>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</si>
  <si>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</si>
  <si>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</si>
  <si>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</si>
  <si>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</si>
  <si>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</si>
  <si>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</si>
  <si>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</si>
  <si>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</si>
  <si>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</si>
  <si>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</si>
  <si>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</si>
  <si>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</si>
  <si>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</si>
  <si>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</si>
  <si>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</si>
  <si>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</si>
  <si>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</si>
  <si>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</si>
  <si>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</si>
  <si>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</si>
  <si>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</si>
  <si>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Un point régulièrement mis en défaut</t>
  </si>
  <si>
    <t>Un point sensible convoité par les voleurs</t>
  </si>
  <si>
    <t>Vous ramassez le pied de biche afin d’avoir un objet pour vous défendre</t>
  </si>
  <si>
    <t>Vous refermez la porte et prévenez le PCS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</si>
  <si>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</si>
  <si>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</si>
  <si>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</si>
  <si>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</si>
  <si>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</si>
  <si>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</si>
  <si>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</si>
  <si>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</si>
  <si>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</si>
  <si>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</si>
  <si>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</si>
  <si>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</si>
  <si>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</si>
  <si>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</si>
  <si>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</si>
  <si>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</si>
  <si>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</si>
  <si>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</si>
  <si>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</si>
  <si>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</si>
  <si>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</si>
  <si>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</si>
  <si>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</si>
  <si>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</si>
  <si>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</si>
  <si>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</si>
  <si>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</si>
  <si>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</si>
  <si>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</si>
  <si>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</si>
  <si>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</si>
  <si>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</si>
  <si>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Le contrôle visuel des bagages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</si>
  <si>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</si>
  <si>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</si>
  <si>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</si>
  <si>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</si>
  <si>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</si>
  <si>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</si>
  <si>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</si>
  <si>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</si>
  <si>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Leur parler de la situation</t>
  </si>
  <si>
    <t>Courir vers eux</t>
  </si>
  <si>
    <t>Leur indiquer l’emplacement des victimes</t>
  </si>
  <si>
    <t>Suivre leurs instructions</t>
  </si>
  <si>
    <t>BLAST primaire</t>
  </si>
  <si>
    <t>BLAST tertiaire</t>
  </si>
  <si>
    <t>BLAST quaternaire</t>
  </si>
  <si>
    <t>BLAST secondaire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</si>
  <si>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</si>
  <si>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</si>
  <si>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</si>
  <si>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</si>
  <si>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</si>
  <si>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</si>
  <si>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</si>
  <si>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</si>
  <si>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</si>
  <si>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</si>
  <si>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</si>
  <si>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</si>
  <si>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</si>
  <si>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</si>
  <si>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</si>
  <si>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</si>
  <si>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</si>
  <si>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</si>
  <si>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</si>
  <si>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</si>
  <si>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</si>
  <si>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</si>
  <si>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</si>
  <si>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</si>
  <si>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</si>
  <si>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</si>
  <si>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</si>
  <si>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</si>
  <si>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Un plan d’Organisation de la Réponse de la Sécurité Civile</t>
  </si>
  <si>
    <t>[UV12] Lorsque des véhicules sont susceptibles de pénétrer au sein d'un périmètre de protection (L266-1 du CSI), la loi peut également en subordonner l’accès à l’inspection visuelle du contenu du véhicule :</t>
  </si>
  <si>
    <t>La zone d’accueil des forces de l’ordre et des secours</t>
  </si>
  <si>
    <t>Vous prévenez immédiatement le PCS et inspectez prudemment les locaux voisins</t>
  </si>
  <si>
    <t>Vous ne faites rien et continuez votre ronde, c’est sûrement le bureau d’un salarié désordonné</t>
  </si>
  <si>
    <t>Des barrières de sécurité équipées de pieds empêchant le renversement</t>
  </si>
  <si>
    <t>Alerter, éteindre, m'éloigner, boxer</t>
  </si>
  <si>
    <t>VRAC (1)</t>
  </si>
  <si>
    <t>VRAC (2)</t>
  </si>
  <si>
    <t>VRAC (3)</t>
  </si>
  <si>
    <t>VRAC (4)</t>
  </si>
  <si>
    <t>[UV10] La CNIL est :</t>
  </si>
  <si>
    <t>[UV10] Dans lequel de ces textes la vidéoprotection est-elle encadrée ?</t>
  </si>
  <si>
    <t>[UV10] Agent de vidéosurveillance sur un site en journée, vous repérez un individu au visage dissimulé dans un local sensible à accès réglementé, que faites-vous ?</t>
  </si>
  <si>
    <t>[UV10] Quelle est la composition de la chaîne de télésécurité ?</t>
  </si>
  <si>
    <t>[UV11] Lors d’un appel du PC de télésurveillance pour une alarme intrusion sur votre site, vous devez en premier lieu :</t>
  </si>
  <si>
    <t>[UV11] Vous êtes seul sur site lors d’une ronde, vous constatez un incendie, que faites-vous en premier ?</t>
  </si>
  <si>
    <t>[UV14] Que signifie POI ?</t>
  </si>
  <si>
    <t>[UV14] Quel est le rôle du Document Unique (DU) ?</t>
  </si>
  <si>
    <t>[UV14] Que signifie l’abrégé P.P.I. ?</t>
  </si>
  <si>
    <t>[UV14] La directive SEVESO est applicable pour ?</t>
  </si>
  <si>
    <t>Nb_Questions</t>
  </si>
  <si>
    <t>TERRORISME</t>
  </si>
  <si>
    <t>JURIDIQUE</t>
  </si>
  <si>
    <t>INCENDIE</t>
  </si>
  <si>
    <t>PROFESSIONNEL</t>
  </si>
  <si>
    <t>GESTION DES CONFLITS</t>
  </si>
  <si>
    <t>[UV07] Que signifie le R de NRBC-E ?</t>
  </si>
  <si>
    <t>[UV07] Le Pneumothorax peut être occasionné par :</t>
  </si>
  <si>
    <t>[UV07] Parmi ces infractions, laquelle porte atteinte aux intérêts fondamentaux de la nation ?</t>
  </si>
  <si>
    <t>[UV07] Dans le cadre d’un risque d’attentat, que peut faire le Préfet ?</t>
  </si>
  <si>
    <t>[UV07] Témoin direct d’un attentat en cours sur votre site, quelles consignes à suivre sont les plus appropriées ?</t>
  </si>
  <si>
    <t>[UV09] Un agent de prévention et de sécurité a-t-il le droit de pratiquer des palpations de sécurité lors de manifestations sportives, récréatives ou culturelles ?</t>
  </si>
  <si>
    <t>[UV09] Je suis agent dans un établissement : sous quelles conditions ai-je le droit d’inspecter des sacs ?</t>
  </si>
  <si>
    <t>[UV07] Que dois-je regarder pour détecter un potentiel terroriste ?</t>
  </si>
  <si>
    <t>[UV07] Qu’est-ce que la zone d’exclusion dans un périmètre de sécurité immédiat ?</t>
  </si>
  <si>
    <t>[UV02] Un revolver chambré pour le calibre 38 spécial est une arme de catégorie :</t>
  </si>
  <si>
    <t>[UV02] Le vol avec arme est qualifié de :</t>
  </si>
  <si>
    <t>[UV08] Suite à un vol dans un magasin, le chef de poste du PCS reçoit les forces de l’ordre et il peut déposer plainte :</t>
  </si>
  <si>
    <t>[UV08] Une zone de protection périphérique concerne :</t>
  </si>
  <si>
    <t>[UV08] Une zone de protection ponctuelle concerne :</t>
  </si>
  <si>
    <t>[UV08] Les convoyeurs de fonds peuvent-ils être armés lorsqu’ils effectuent en véhicule banalisé un transport de fonds, bijoux ou métaux précieux ?</t>
  </si>
  <si>
    <t>[UV07] Que signifie NRBC-E ?</t>
  </si>
  <si>
    <t>[UV07] En cas de plan Vigipirate, l’accès à n’importe quel établissement peut être soumis à une palpation de sécurité : qui peut en décider ?</t>
  </si>
  <si>
    <t>[UV07] Qu’est-ce que l’état d’urgence ?</t>
  </si>
  <si>
    <t>[UV07] Suite à une blessure par balle sur le torse d’une victime, comment puis-je la secourir sans provoquer un pneumothorax ?</t>
  </si>
  <si>
    <t>[UV07] Quelles sont les grandes priorités de réaction que je dois adopter face à une attaque terroriste ?</t>
  </si>
  <si>
    <t>[UV07] Qu’est-ce que le terrorisme d’Etat ?</t>
  </si>
  <si>
    <t>[UV02] Un agent de sécurité exerçant ses fonctions dans un parc d’attraction peut-il appréhender un individu qui y entre avec une matraque et tente d’agresser un salarié du parc ?</t>
  </si>
  <si>
    <t>[UV02] Un agent de sécurité privé peut être sanctionné par le CNAPS :</t>
  </si>
  <si>
    <t>[UV09] Je suis agent dans un magasin : sous quelles conditions ai-je le droit d’inspecter des sacs ?</t>
  </si>
  <si>
    <t>[UV08] Qu’est-ce qu’une zone de protection ?</t>
  </si>
  <si>
    <t>[UV08] Un point dit vulnérable lors d’une ronde est :</t>
  </si>
  <si>
    <t>[UV08] Pendant votre ronde, vous découvrez un local en désordre avec un pied de biche au sol. Que faites-vous ?</t>
  </si>
  <si>
    <t>[UV06] Un agent de sécurité privé masculin doit appréhender un voleur en sortie de caisse, mais il s’agit d’une femme :</t>
  </si>
  <si>
    <t>[UV02] Les agents de sécurité employés par un bailleur d’immeuble à usage d’habitations peuvent être armés :</t>
  </si>
  <si>
    <t>[UV09] Quelles sont les méthodes pour les agents masculins pour effectuer des vérifications de sécurité sur des femmes qui sont au contrôle d’accès :</t>
  </si>
  <si>
    <t>[UV09] Dans quelle situation puis-je effectuer des palpations de sécurité ?</t>
  </si>
  <si>
    <t>[UV08] Certaines circonstances peuvent aggraver le vol. Par exemple quand le vol est commis :</t>
  </si>
  <si>
    <t>[UV07] Dès l’arrivée des forces de l’ordre, dans une zone d’attentat, vous devez en premier :</t>
  </si>
  <si>
    <t>[UV07] Parmi les types de “BLAST” suivants, lequel ou lesquels existent ?</t>
  </si>
  <si>
    <t>[UV02] Agent de sécurité, je dispose d’un véhicule d’entreprise équipé d’un gyrophare orange :</t>
  </si>
  <si>
    <t>[UV02] Selon la loi, est une arme par destination :</t>
  </si>
  <si>
    <t>[UV02] La liberté d’aller et venir s’inscrit dans le respect :</t>
  </si>
  <si>
    <t>[UV02] Les acteurs de la sécurité privée doivent respecter la confidentialité des informations dont ils ont eu connaissance dans le cadre de leur activité :</t>
  </si>
  <si>
    <t>[UV02] Que risque un employeur qui a conclu un contrat de travail avec un agent de sécurité, non titulaire de la carte professionnelle ?</t>
  </si>
  <si>
    <t>[UV02] Le port et transport d’armes sans agrément spécifique, de type générateurs aérosols (de catégorie D) et arme à impulsion électrique de contact :</t>
  </si>
  <si>
    <t>[UV03] Quels sont les 4 comportements pouvant être adoptés théoriquement lors d’un conflit ?</t>
  </si>
  <si>
    <t>[UV04] Une consigne qui vous explique la procédure pour pénétrer dans un local où des matières toxiques sont entreposées en permanence est :</t>
  </si>
  <si>
    <t>[UV04] La consigne affichée à proximité des sorties concernant l’évacuation est :</t>
  </si>
  <si>
    <t>[UV05] Lors de la mise en place d’un permis feu, quelles consignes sont importantes à confier à l’exécutant ?</t>
  </si>
  <si>
    <t>[UV09] Quel est le seuil fixé par le Code de la Sécurité Intérieure, concernant l’obligation de palpation de sécurité des manifestations ?</t>
  </si>
  <si>
    <t>[UV09] D’après le Code de la Sécurité Intérieure, quelles conditions devez-vous respecter pour effectuer une palpation de sécurité lorsqu’un périmètre de protection a été institué ?</t>
  </si>
  <si>
    <t>[UV09] Suite à une appréhension en flagrant délit pour vol, je vois que l’individu possède un couteau dans sa poche de blouson. Que dois-je faire ?</t>
  </si>
  <si>
    <t>UV0</t>
  </si>
  <si>
    <t>UV02 (1)</t>
  </si>
  <si>
    <t>UV02 (2)</t>
  </si>
  <si>
    <t>UV03</t>
  </si>
  <si>
    <t>UV04</t>
  </si>
  <si>
    <t>UV08</t>
  </si>
  <si>
    <t>UV05 (1)</t>
  </si>
  <si>
    <t>UV05 (2)</t>
  </si>
  <si>
    <t>UV09</t>
  </si>
  <si>
    <t>UV01</t>
  </si>
  <si>
    <t>UV06</t>
  </si>
  <si>
    <t>UV07</t>
  </si>
  <si>
    <t>PALPATION</t>
  </si>
  <si>
    <t>INDUSTRIEL</t>
  </si>
  <si>
    <t>ARTICLE 73 CPP</t>
  </si>
  <si>
    <t>GESTION DES RISQUES</t>
  </si>
  <si>
    <t>ELECTRONIQUE</t>
  </si>
  <si>
    <t>EVENEMENTIEL</t>
  </si>
  <si>
    <t>MODULE STRATEGIQUE</t>
  </si>
  <si>
    <t>Titre</t>
  </si>
  <si>
    <t>1 – [UV02] Quand peut-on considérer que la captation d’une image revêt un caractère illégal ?|Aucune des réponses est bonne|Quand l’image est fixée sans le consentement d’une personne se trouvant dans un lieu privé|Quand l’image est fixée sans le consentement d’une personne se trouvant dans un lieu public ou privé|Quand l’image est fixée sans le consentement d’une personne se trouvant dans un lieu public|Seul la transmission d’une image peut revêtir un caractère illégal|B</t>
  </si>
  <si>
    <t>2 – [UV02] Un acte de violence sur autrui ayant entraîné une ITT de plus de 8 jours est une infraction prévue et réprimée par le code pénal. Légalement, comment qualifie-t-on cette infraction et la peine encourue ?|Aucune des autres réponses|Contravention passible d’emprisonnement et d’amende|Délit passible d’emprisonnement et d’amende|Rappel à la loi passible d’emprisonnement et d’amende|Crime passible d’emprisonnement et d’amende|C</t>
  </si>
  <si>
    <t>3 – [UV07] La première équipe spécialisée dans les interventions anti-terroristes est présente dans le but :|D’évacuer les blessés|De secourir les victimes|De prendre des photographies de la scène pour récupérer un maximum de preuves|Aucune des autres réponses|De neutraliser les tireurs actifs|E</t>
  </si>
  <si>
    <t>4 – [UV02] Quel est le bon ordre d’importance des textes suivants ?|Constitution, Décret, Loi, Circulaire, Arrêté|Constitution, Loi, Décret, Arrêté, Circulaire|Arrêté, Décret, Constitution, Arrêté, Loi|Loi, Circulaire, Arrêté, Décret, Constitution|Loi, Décret, Constitution, Circulaire, Arrêté|B</t>
  </si>
  <si>
    <t>5 – [UV03] Lorsqu’un avantage auquel on tient est menacé, on parle de :|Conflit de Loi|Aucune des autres réponses|Conflit d’intérêt|Conflit d’évaluation|Conflit de génération|C</t>
  </si>
  <si>
    <t>6 – [UV09] Les membres du service d’ordre de l’organisateur chargés d’une mission relative aux palpations de sécurité doivent :|Être dispensés du port d’une tenue d’agent de sécurité privée|Porter tous la même tenue mais sans obligation particulière|Être dotés d’un signe distinctif permettant d’identifier leur qualité|Aucune des autres réponses|Porter une tenue qui officialise leur mission en tant que membre des forces de l’ordre|C</t>
  </si>
  <si>
    <t>7 – [UV09] En cas d’événement récréatif rassemblant plus de 300 personnes, l’agrément de palpation est délivré par :|Aucune des autres réponses|L’OPJ|Le Préfet|Le Maire|La CLAC|A</t>
  </si>
  <si>
    <t>8 – [UV06] Pouvez-vous appréhender un individu en surface de vent ?|Oui, peut-être|Aucune des autres réponses|Oui dans tous les cas|Non, sauf si l’infraction n’a aucun lien avec la vente|Non dans tous les cas|D</t>
  </si>
  <si>
    <t>9 – [UV11] Que devez-vous mettre à disposition comme matériel aux forces de l’ordre lors d’une intervention ?|Tous les éléments nécessaires à leur intervention|Uniquement les clés ou badges d’accès|Uniquement des magnétomètres|Aucune des autres réponses|Uniquement la main courante pour qu’ils puissent y rédiger leur rapport|A</t>
  </si>
  <si>
    <t>10 – [UV08] L’agent de sécurité arrière-caisse a entre-autres pour mission dans la grande surface commerciale :|Aucune des autres réponses|De contrôler l’heure d’arrivée et de départ des employés|D’exercer une surveillance régalienne et coercitive|De faire appliquer les procédures de contrôle d’accès à tout visiteur pénétrant hors de la zone de vente|De tester le système de protection des marchandises à l’aide d’un antivol|E</t>
  </si>
  <si>
    <t>11 – [UV02] Un agent privé de sécurité a le droit de porter un « TASER » :|Sous condition d’une autorisation du maire|Sous condition qu’il détienne une carte professionnelle à jour|Sous condition qu’il réalise une prestation sur un site dangereux|L’acquisition et la détention sont interdites aux agents de sécurité privée|Aucune des autres réponses|D</t>
  </si>
  <si>
    <t>12 – [UV11] Vous êtes en position de travailleur isolé sur un site de nuit et disposez d’un DATI :|Vous ne devez utiliser le DATI que lorsque vous partez en ronde|Le DATI est un appareil mis à disposition des agents pour garantir leur sécurité totale|Le DATI est un élément de la chaîne de sécurité, qui émet un signal afin de déclencher une procédure prédéfinie|Vous êtes totalement en sécurité s’il vous arrivait quoi que ce soit|Aucune des autres réponses|C</t>
  </si>
  <si>
    <t>13 – [UV07] Qu’est-ce qu’un pneumothorax ?|Aucune des autres réponses|Un remplissage d’air dans la cavité pleurale|Un médicament vendu uniquement en pharmacie|Une brûlure au thorax|Une protection thoracique contre les coups|B</t>
  </si>
  <si>
    <t>14 – [UV08] Vous êtes agent en arrière-caisse dans un magasin, pouvez-vous demander à procéder à l’inspection visuelle des sacs d’achat de personnes déjà passées en caisse ?|Seulement en présence des forces de l’ordre|Oui, comme bon vous semble|Uniquement di le plan Vigipirate est déclenché|Oui, si un portique antivol se déclenche au passage de la personne|Aucune des autres réponses|D</t>
  </si>
  <si>
    <t>15 – [UV02] Le renouvellement de la carte professionnelle :|N’est pas obligatoire pour les anciens fonctionnaires des forces de l’ordre|N’est pas obligatoire|Aucune des autres réponses|Est subordonné au suivi d’une formation continue|Est subordonné à une autorisation de l’employeur|D</t>
  </si>
  <si>
    <t>16 – [UV02] Pour demander une carte professionnelle ou une autorisation d’entrée en formation, il est nécessaire de fournir, pour les ressortissants français :|Un certificat médical|Un justificatif de domicile de moins de 3 mois|Un extrait d’acte de naissance pour|Une copie du permis de conduire|Un extrait de casier judiciaire B3|B</t>
  </si>
  <si>
    <t>17 – [UV02] La liberté de conscience et de religion…|Correspond à la laïcité en France|Ne s’applique que pour certaines catégories de personnes|Correspond à l’obligation d’avoir une religion|Ne s’applique pas aux femmes|Permet tout de même à l’Etat d’imposer une religion|A</t>
  </si>
  <si>
    <t>18 – [UV03] Un de vos collègues est menacé verbalement par un spectateur qui s’en va. Que faites-vous ?|Je demande à mon collègue de rédiger un compte rendu factuel|Aucune des autres réponses|Je vais remonter le moral de mon collègue pour qu’il banalise la situation|Le client étant parti sans autre action, le dossier est clos|Je poursuis le client, lui fait la morale et le somme de venir présenter des excuses à mon collègue|A</t>
  </si>
  <si>
    <t>19 – [UV02] Agent de prévention et de sécurité en poste de filtrage :|Je suis habilité à effectuer une fouille de personne dans certains cas|Je peux effectuer un recueil d’identité, si les consignes ou le Règlement intérieur le prévoient|Je suis habilité à effectuer un test ADN dans certains cas|Aucune des autres réponses|Je suis habilité à effectuer un contrôle d’identité dans certains cas|B</t>
  </si>
  <si>
    <t>20 – [UV09] Qui donne l’agrément pour procéder à des palpations de sécurité aux employés des entreprises de surveillance en cas de circonstances exceptionnelles ?|Le Préfet du département|Le SDIS|Le procureur de la République|Aucune des autres réponses|Le Ministre de l’Intérieur|D</t>
  </si>
  <si>
    <t>21 – [UV3] Une personne s’énerve parce que vous l’avez bousculée en partant pour une intervention en secours à la personne. Que faites-vous ?|Vous vous excusez et repartez rapidement en intervention|Aucune des autres réponses|Vous lui faites clairement comprendre que cela retarde votre intervention|Vous prenez le temps de lui présenter vos excuses et vous lui en expliquez précisément la cause|Vous l’ignorez car l’intervention est plus importante|A</t>
  </si>
  <si>
    <t>22 – [UV08] La convention collective doit être :|Affichée à l’entrée du siège social de l’entreprise|Remise aux salariés|Aucune des autres réponses|Remise aux organisations professionnelles|Tenues à la disposition des salariés dans l’entreprise|E</t>
  </si>
  <si>
    <t>23 – [UV08] Les convoyeurs de fonds dans le cadre de leurs missions peuvent être dispensés du port de la tenue lorsqu’ils sont en véhicule banalisé :|Oui avec une carte professionnelle mentionnant le véhicule banalisé|Non car un agent de sécurité doit toujours être en tenue, c’est la règle|Aucune des autres réponses|Non, car même une tenue banalisée est considérée comme une tenue|Oui|E</t>
  </si>
  <si>
    <t>24 – [UV09] Dans quelle situation pourrais-je effectuer des palpations de sécurité ?|Aucune des autres réponses|À l’entrée d’une salle de concert, sans les agréments réglementaires|À l’entrée d’un magasin sur toute personne suspecte|À la sortie d’un magasin sur un individu connu pour des actes de vols fréquents, sur demande du responsable du magasin|Sur une personne appréhendée suite à un flagrant délit qui menaçait de se couper les veines|E</t>
  </si>
  <si>
    <t>25 – [UV08] Lors d’une levée de doute intrusion, vous découvrez une porte fracturée avec la présence d’empreintes de pas qui se dirigent vers l’intérieur d’un bâtiment ?|Vous effectuez une levée de doute complémentaire pour appréhender un éventuel intrus|Vous rendez compte pour faire intervenir un service de nettoyage|Vous ramassez tout ce qui peut être blessant pour éviter un suraccident|Vous donnez l’alerte et vous effectuez un périmètre de sécurité pour préserver les traces|Aucune des autres réponses|D</t>
  </si>
  <si>
    <t>26 – [UV02] Où siège le Sénat|À Versailles|Au quai Branly|À l’Elysée|Au Palais du Luxembourg|À Matignon|D</t>
  </si>
  <si>
    <t>27 – [UV06] Dans le magasin dont vous êtes l’agent pré-vol, vous apercevez une personne âgée dissimulant des tablettes de chocolat dans son sac à main, qui se présente à la caisse et ne les pose pas sur le tapis. Comment réagissez-vous ?|Vous demandez à la personne âgée d’ouvrir son sac dans le magasin|Vous prévenez vos collègues et l’attendez en sortie de caisse|Vous prévenez vos collègues pour une appréhension en sortie de caisse|Vous l’interpellez dans le magasin et l’accompagnez auprès de vos collègues|Vous ne faites rien car si cette personne dissimule de la nourriture, c’est qu’elle a faim|C</t>
  </si>
  <si>
    <t>28 – [UV12] Un lieu ou un événement exposé à un risque d’actes de terrorisme à raison de sa nature et de l’ampleur de sa fréquentation peut, par le livre II du Code de la Sécurité Intérieure (L.226-1), être institué :|Périmètre de sûreté dont l’accès et la circulation des personnes sont restreints|Périmètre d’urgence dans lequel les conditions d’usage des armes sont étendues|Aucune des autres réponses|Périmètre de protection au sein duquel l’accès et la circulation des personnes sont réglementés|Périmètre de sécurité pour lequel les conditions d’exercice des agents sont limitées|D</t>
  </si>
  <si>
    <t>29 – [UV08] Quels sont les deux documents les plus importants qu’un agent de sécurité en poste doit prendre en compte pour mener au mieux sa mission ?|Les consignes générales et les consignes particulières|Aucune des autres réponses|Les consignes préfectorales et les mesures Vigipirate|Les plans de l’entreprise et des transports en commun|Le planning des heures de vacation et des congés|A</t>
  </si>
  <si>
    <t>30 – [UV09] Votre employeur vous habilite pour effectuer des palpations lors d’une manifestation, que faites-vous au regard du cadre légal ?|Vous lui demandez s’il a une autorisation préfectorale|C’est exceptionnel donc je palpe|Aucune des autres réponses|Vous informez votre employeur que vous n’avez pas d’agrément de la CLAC et que vous n’avez pas le droit de le faire|Vous acceptez car votre employeur a engagé sa responsabilité|E</t>
  </si>
  <si>
    <t>31 – [UV02] Que risque un employeur qui a conclu un contrat de travail avec un agent de sécurité, non titulaire de la carte professionnelle ?|1 an d’emprisonnement et 15 000 euros d’amende|L’employeur ne risque rien|1 an d’emprisonnement et 2 000 euros d’amende|Aucune des autres réponses|2 ans d’emprisonnement et 30 000 euros d’amende|E</t>
  </si>
  <si>
    <t>32 – [UV02] Le vol avec arme est qualifié de :|Délit qualifié|Crime terroriste|Aucune des autres réponses|Crime|Délit aggravé|D</t>
  </si>
  <si>
    <t>33 – [UV02] Une mission de gardiennage peut être sous-traitée :|Selon le Code du commerce et les restrictions du Code de la Sécurité Intérieure|En aucun cas, la sous-traitance étant interdite|Sur autorisation spécifique du Préfet|Sur autorisation du CNAPS|Selon le Code du Commerce, comme toute prestation de service|A</t>
  </si>
  <si>
    <t>34 – [UV08] Combien existe-t-il de zones de protection ?|Quatre|Une|Aucune des autres réponses|Trois|Deux|A</t>
  </si>
  <si>
    <t>35 – [UV10] Votre employeur vous demande d’effectuer des palpations de sécurité lors d’un gala de bienfaisance réunissant 200 personnes. Que faites-vous ?|Je ne peux pas refuser puisque je connais bien la technique|Aucune des autres réponses|Je refuse, ne souhaitant pas risquer de sanctions en cas de contrôle|J’accepte parce que cette demande est légale|Je refuse car il me faudrait bénéficier d’une prime de palpation|C</t>
  </si>
  <si>
    <t>36 – [UV11] Lorsque l’opération est réalisée de nuit ou dans un lieu isolé ou à un moment où l’activité de l’entreprise utilisatrice est interrompue le chef de l’entreprise extérieure intéressé prend les mesures nécessaires pour :|qu’aucun travailleur ne travaille isolément en un point où il ne pourrait être secouru à bref délai en cas d’accident|Aucune des autres réponses|que le travailleur soit toujours joint en moins de 10 minutes|que le travailleur travaille seul en un point du site afin d’être tranquille|que le travailleur ne soit jamais seul en tout point du site|A</t>
  </si>
  <si>
    <t>37 – [UV06] Dans le magasin dont vous êtes l’agent pré-vol, vous apercevez une personne consommant des bonbons et des boissons dans le magasin. Une fois terminé sa consommation, et les emballages jetés cette personne continue ses courses normalement :|Vous récupérer les emballages vides pour les remettre à vos collègues ils seront utiles lors de l’appréhension|Vous prévenez vos collègues pour une entrave en sortie de caisse|Aucune des autres réponses|Vous prévenez la personne pour lui indiquer de ne plus recommencer et vous continuez votre travail sans plus vous occuper de cette personne|Vous ne faites rien car cette personne continue ses courses qu’elle va donc payer en caisse. Ce n’est pas grave car elle va régler un caddie entier|A</t>
  </si>
  <si>
    <t>38 – [UV12] Comment sont désignés les grands événements exposés à un risque exceptionnel de menace terroriste ?|Par les organisateurs dans le dossier d’analyse des risques|Aucune des autres réponses|Par le Préfet suite aux déclarations obligatoires des organisateurs|Par le Ministre de l’intérieur en fonction des derniers événements|Par décret conformément à l’article L211-11-1 di CSI|E</t>
  </si>
  <si>
    <t>39 – [UV08] Quelles sont les familles de détecteurs ?|Optiques, thermiques, de mouvements, microphoniques|D’ouverture, thermo, vélocinétique, olfactif|Visuels, olfactif, de sons, de mouvements|De mouvements, optiques, thermiques, étendus|Aucune des autres réponses|A</t>
  </si>
  <si>
    <t>40 – [UV12] Quels sont les faits autorisés et donc non passibles de poursuite en matière d’utilisation d’images de vidéoprotection ?|Le fait d’utiliser des images à d’autres fins que celles autorisées|Aucune des autres réponses|Le fait de permettre leur accès à des personnes non habilitées|Le fait de falsifier des enregistrements|Le fait de ne conserver les images que pendant un mois au maximum sauf procédure judiciaire en cous|E</t>
  </si>
  <si>
    <t>41 – [UV11] En cas de défaillance du DATI, quelle est l’une des solutions alternatives pouvant être mise en place ?|L’agent reste au PCS et n’effectue aucune ronde n’ayant pas de dispositif en bon état de fonctionnement|L’agent envoie des SMS à un de ses collègues toutes les heures|Aucune des autres réponses|L’agent fait des appels sécuritaires conformément aux consignes de site|L’agent de sécurité termine sa vacation normalement|D</t>
  </si>
  <si>
    <t>42 – [UV11] Vous êtes au PCS votre agent est parti en levée de doute pour une alarme intrusion. Que faites-vous en attendant ?|Je me concentre uniquement sur la centrale intrusion dans l’éventualité d’une nouvelle alarme|Rien, j’attends que mon collègue me transmette les informations|Je surveille la zone concernée à l’aide du système de vidéo surveillance|Je préviens le client de l’établissement|Aucune des autres réponses|C</t>
  </si>
  <si>
    <t>[UV02] Quand peut-on considérer que la captation d’une image revêt un caractère illégal ?</t>
  </si>
  <si>
    <t>Aucune des réponses est bonne</t>
  </si>
  <si>
    <t>Quand l’image est fixée sans le consentement d’une personne se trouvant dans un lieu privé</t>
  </si>
  <si>
    <t>Quand l’image est fixée sans le consentement d’une personne se trouvant dans un lieu public ou privé</t>
  </si>
  <si>
    <t>Quand l’image est fixée sans le consentement d’une personne se trouvant dans un lieu public</t>
  </si>
  <si>
    <t>Seul la transmission d’une image peut revêtir un caractère illégal</t>
  </si>
  <si>
    <t>[UV02] Un acte de violence sur autrui ayant entraîné une ITT de plus de 8 jours est une infraction prévue et réprimée par le code pénal. Légalement, comment qualifie-t-on cette infraction et la peine encourue ?</t>
  </si>
  <si>
    <t>Contravention passible d’emprisonnement et d’amende</t>
  </si>
  <si>
    <t>Délit passible d’emprisonnement et d’amende</t>
  </si>
  <si>
    <t>Rappel à la loi passible d’emprisonnement et d’amende</t>
  </si>
  <si>
    <t>Crime passible d’emprisonnement et d’amende</t>
  </si>
  <si>
    <t>[UV07] La première équipe spécialisée dans les interventions anti-terroristes est présente dans le but :</t>
  </si>
  <si>
    <t>D’évacuer les blessés</t>
  </si>
  <si>
    <t>De secourir les victimes</t>
  </si>
  <si>
    <t>De prendre des photographies de la scène pour récupérer un maximum de preuves</t>
  </si>
  <si>
    <t>De neutraliser les tireurs actifs</t>
  </si>
  <si>
    <t>[UV02] Quel est le bon ordre d’importance des textes suivants ?</t>
  </si>
  <si>
    <t>Constitution, Décret, Loi, Circulaire, Arrêté</t>
  </si>
  <si>
    <t>Constitution, Loi, Décret, Arrêté, Circulaire</t>
  </si>
  <si>
    <t>Arrêté, Décret, Constitution, Arrêté, Loi</t>
  </si>
  <si>
    <t>Loi, Circulaire, Arrêté, Décret, Constitution</t>
  </si>
  <si>
    <t>Loi, Décret, Constitution, Circulaire, Arrêté</t>
  </si>
  <si>
    <t>[UV03] Lorsqu’un avantage auquel on tient est menacé, on parle de :</t>
  </si>
  <si>
    <t>Conflit de Loi</t>
  </si>
  <si>
    <t>Conflit d’intérêt</t>
  </si>
  <si>
    <t>Conflit d’évaluation</t>
  </si>
  <si>
    <t>Conflit de génération</t>
  </si>
  <si>
    <t>[UV09] Les membres du service d’ordre de l’organisateur chargés d’une mission relative aux palpations de sécurité doivent :</t>
  </si>
  <si>
    <t>Être dispensés du port d’une tenue d’agent de sécurité privée</t>
  </si>
  <si>
    <t>Porter tous la même tenue mais sans obligation particulière</t>
  </si>
  <si>
    <t>Être dotés d’un signe distinctif permettant d’identifier leur qualité</t>
  </si>
  <si>
    <t>Porter une tenue qui officialise leur mission en tant que membre des forces de l’ordre</t>
  </si>
  <si>
    <t>[UV09] En cas d’événement récréatif rassemblant plus de 300 personnes, l’agrément de palpation est délivré par :</t>
  </si>
  <si>
    <t>L’OPJ</t>
  </si>
  <si>
    <t>Le Préfet</t>
  </si>
  <si>
    <t>Le Maire</t>
  </si>
  <si>
    <t>La CLAC</t>
  </si>
  <si>
    <t>[UV06] Pouvez-vous appréhender un individu en surface de vent ?</t>
  </si>
  <si>
    <t>Oui, peut-être</t>
  </si>
  <si>
    <t>Oui dans tous les cas</t>
  </si>
  <si>
    <t>Non, sauf si l’infraction n’a aucun lien avec la vente</t>
  </si>
  <si>
    <t>Non dans tous les cas</t>
  </si>
  <si>
    <t>[UV11] Que devez-vous mettre à disposition comme matériel aux forces de l’ordre lors d’une intervention ?</t>
  </si>
  <si>
    <t>Tous les éléments nécessaires à leur intervention</t>
  </si>
  <si>
    <t>Uniquement les clés ou badges d’accès</t>
  </si>
  <si>
    <t>Uniquement des magnétomètres</t>
  </si>
  <si>
    <t>Uniquement la main courante pour qu’ils puissent y rédiger leur rapport</t>
  </si>
  <si>
    <t>[UV08] L’agent de sécurité arrière-caisse a entre-autres pour mission dans la grande surface commerciale :</t>
  </si>
  <si>
    <t>De contrôler l’heure d’arrivée et de départ des employés</t>
  </si>
  <si>
    <t>D’exercer une surveillance régalienne et coercitive</t>
  </si>
  <si>
    <t>De faire appliquer les procédures de contrôle d’accès à tout visiteur pénétrant hors de la zone de vente</t>
  </si>
  <si>
    <t>De tester le système de protection des marchandises à l’aide d’un antivol</t>
  </si>
  <si>
    <t>[UV02] Un agent privé de sécurité a le droit de porter un « TASER » :</t>
  </si>
  <si>
    <t>Sous condition d’une autorisation du maire</t>
  </si>
  <si>
    <t>Sous condition qu’il détienne une carte professionnelle à jour</t>
  </si>
  <si>
    <t>Sous condition qu’il réalise une prestation sur un site dangereux</t>
  </si>
  <si>
    <t>L’acquisition et la détention sont interdites aux agents de sécurité privée</t>
  </si>
  <si>
    <t>[UV11] Vous êtes en position de travailleur isolé sur un site de nuit et disposez d’un DATI :</t>
  </si>
  <si>
    <t>Vous ne devez utiliser le DATI que lorsque vous partez en ronde</t>
  </si>
  <si>
    <t>Le DATI est un appareil mis à disposition des agents pour garantir leur sécurité totale</t>
  </si>
  <si>
    <t>Le DATI est un élément de la chaîne de sécurité, qui émet un signal afin de déclencher une procédure prédéfinie</t>
  </si>
  <si>
    <t>Vous êtes totalement en sécurité s’il vous arrivait quoi que ce soit</t>
  </si>
  <si>
    <t>[UV07] Qu’est-ce qu’un pneumothorax ?</t>
  </si>
  <si>
    <t>Un remplissage d’air dans la cavité pleurale</t>
  </si>
  <si>
    <t>Un médicament vendu uniquement en pharmacie</t>
  </si>
  <si>
    <t>Une brûlure au thorax</t>
  </si>
  <si>
    <t>Une protection thoracique contre les coups</t>
  </si>
  <si>
    <t>[UV08] Vous êtes agent en arrière-caisse dans un magasin, pouvez-vous demander à procéder à l’inspection visuelle des sacs d’achat de personnes déjà passées en caisse ?</t>
  </si>
  <si>
    <t>Uniquement di le plan Vigipirate est déclenché</t>
  </si>
  <si>
    <t>Oui, si un portique antivol se déclenche au passage de la personne</t>
  </si>
  <si>
    <t>[UV02] Le renouvellement de la carte professionnelle :</t>
  </si>
  <si>
    <t>N’est pas obligatoire pour les anciens fonctionnaires des forces de l’ordre</t>
  </si>
  <si>
    <t>Est subordonné au suivi d’une formation continue</t>
  </si>
  <si>
    <t>Est subordonné à une autorisation de l’employeur</t>
  </si>
  <si>
    <t>[UV02] Pour demander une carte professionnelle ou une autorisation d’entrée en formation, il est nécessaire de fournir, pour les ressortissants français :</t>
  </si>
  <si>
    <t>Un certificat médical</t>
  </si>
  <si>
    <t>Un justificatif de domicile de moins de 3 mois</t>
  </si>
  <si>
    <t>Un extrait d’acte de naissance pour</t>
  </si>
  <si>
    <t>Une copie du permis de conduire</t>
  </si>
  <si>
    <t>Un extrait de casier judiciaire B3</t>
  </si>
  <si>
    <t>[UV02] La liberté de conscience et de religion…</t>
  </si>
  <si>
    <t>Correspond à la laïcité en France</t>
  </si>
  <si>
    <t>Ne s’applique que pour certaines catégories de personnes</t>
  </si>
  <si>
    <t>Correspond à l’obligation d’avoir une religion</t>
  </si>
  <si>
    <t>Ne s’applique pas aux femmes</t>
  </si>
  <si>
    <t>Permet tout de même à l’Etat d’imposer une religion</t>
  </si>
  <si>
    <t>[UV03] Un de vos collègues est menacé verbalement par un spectateur qui s’en va. Que faites-vous ?</t>
  </si>
  <si>
    <t>Je demande à mon collègue de rédiger un compte rendu factuel</t>
  </si>
  <si>
    <t>Je vais remonter le moral de mon collègue pour qu’il banalise la situation</t>
  </si>
  <si>
    <t>Le client étant parti sans autre action, le dossier est clos</t>
  </si>
  <si>
    <t>Je poursuis le client, lui fait la morale et le somme de venir présenter des excuses à mon collègue</t>
  </si>
  <si>
    <t>[UV02] Agent de prévention et de sécurité en poste de filtrage :</t>
  </si>
  <si>
    <t>Je suis habilité à effectuer une fouille de personne dans certains cas</t>
  </si>
  <si>
    <t>Je peux effectuer un recueil d’identité, si les consignes ou le Règlement intérieur le prévoient</t>
  </si>
  <si>
    <t>Je suis habilité à effectuer un test ADN dans certains cas</t>
  </si>
  <si>
    <t>Je suis habilité à effectuer un contrôle d’identité dans certains cas</t>
  </si>
  <si>
    <t>[UV09] Qui donne l’agrément pour procéder à des palpations de sécurité aux employés des entreprises de surveillance en cas de circonstances exceptionnelles ?</t>
  </si>
  <si>
    <t>Le Préfet du département</t>
  </si>
  <si>
    <t>Le SDIS</t>
  </si>
  <si>
    <t>Le procureur de la République</t>
  </si>
  <si>
    <t>Le Ministre de l’Intérieur</t>
  </si>
  <si>
    <t>[UV3] Une personne s’énerve parce que vous l’avez bousculée en partant pour une intervention en secours à la personne. Que faites-vous ?</t>
  </si>
  <si>
    <t>Vous vous excusez et repartez rapidement en intervention</t>
  </si>
  <si>
    <t>Vous lui faites clairement comprendre que cela retarde votre intervention</t>
  </si>
  <si>
    <t>Vous prenez le temps de lui présenter vos excuses et vous lui en expliquez précisément la cause</t>
  </si>
  <si>
    <t>Vous l’ignorez car l’intervention est plus importante</t>
  </si>
  <si>
    <t>[UV08] La convention collective doit être :</t>
  </si>
  <si>
    <t>Affichée à l’entrée du siège social de l’entreprise</t>
  </si>
  <si>
    <t>Remise aux salariés</t>
  </si>
  <si>
    <t>Remise aux organisations professionnelles</t>
  </si>
  <si>
    <t>Tenues à la disposition des salariés dans l’entreprise</t>
  </si>
  <si>
    <t>[UV08] Les convoyeurs de fonds dans le cadre de leurs missions peuvent être dispensés du port de la tenue lorsqu’ils sont en véhicule banalisé :</t>
  </si>
  <si>
    <t>Oui avec une carte professionnelle mentionnant le véhicule banalisé</t>
  </si>
  <si>
    <t>Non car un agent de sécurité doit toujours être en tenue, c’est la règle</t>
  </si>
  <si>
    <t>Non, car même une tenue banalisée est considérée comme une tenue</t>
  </si>
  <si>
    <t>[UV09] Dans quelle situation pourrais-je effectuer des palpations de sécurité ?</t>
  </si>
  <si>
    <t>À l’entrée d’une salle de concert, sans les agréments réglementaires</t>
  </si>
  <si>
    <t>À l’entrée d’un magasin sur toute personne suspecte</t>
  </si>
  <si>
    <t>À la sortie d’un magasin sur un individu connu pour des actes de vols fréquents, sur demande du responsable du magasin</t>
  </si>
  <si>
    <t>Sur une personne appréhendée suite à un flagrant délit qui menaçait de se couper les veines</t>
  </si>
  <si>
    <t>[UV08] Lors d’une levée de doute intrusion, vous découvrez une porte fracturée avec la présence d’empreintes de pas qui se dirigent vers l’intérieur d’un bâtiment ?</t>
  </si>
  <si>
    <t>Vous effectuez une levée de doute complémentaire pour appréhender un éventuel intrus</t>
  </si>
  <si>
    <t>Vous rendez compte pour faire intervenir un service de nettoyage</t>
  </si>
  <si>
    <t>Vous ramassez tout ce qui peut être blessant pour éviter un suraccident</t>
  </si>
  <si>
    <t>Vous donnez l’alerte et vous effectuez un périmètre de sécurité pour préserver les traces</t>
  </si>
  <si>
    <t>[UV02] Où siège le Sénat</t>
  </si>
  <si>
    <t>À Versailles</t>
  </si>
  <si>
    <t>Au quai Branly</t>
  </si>
  <si>
    <t>À l’Elysée</t>
  </si>
  <si>
    <t>Au Palais du Luxembourg</t>
  </si>
  <si>
    <t>À Matignon</t>
  </si>
  <si>
    <t>[UV06] Dans le magasin dont vous êtes l’agent pré-vol, vous apercevez une personne âgée dissimulant des tablettes de chocolat dans son sac à main, qui se présente à la caisse et ne les pose pas sur le tapis. Comment réagissez-vous ?</t>
  </si>
  <si>
    <t>Vous demandez à la personne âgée d’ouvrir son sac dans le magasin</t>
  </si>
  <si>
    <t>Vous prévenez vos collègues et l’attendez en sortie de caisse</t>
  </si>
  <si>
    <t>Vous prévenez vos collègues pour une appréhension en sortie de caisse</t>
  </si>
  <si>
    <t>Vous l’interpellez dans le magasin et l’accompagnez auprès de vos collègues</t>
  </si>
  <si>
    <t>Vous ne faites rien car si cette personne dissimule de la nourriture, c’est qu’elle a faim</t>
  </si>
  <si>
    <t>[UV12] Un lieu ou un événement exposé à un risque d’actes de terrorisme à raison de sa nature et de l’ampleur de sa fréquentation peut, par le livre II du Code de la Sécurité Intérieure (L.226-1), être institué :</t>
  </si>
  <si>
    <t>Périmètre de sûreté dont l’accès et la circulation des personnes sont restreints</t>
  </si>
  <si>
    <t>Périmètre d’urgence dans lequel les conditions d’usage des armes sont étendues</t>
  </si>
  <si>
    <t>Périmètre de protection au sein duquel l’accès et la circulation des personnes sont réglementés</t>
  </si>
  <si>
    <t>Périmètre de sécurité pour lequel les conditions d’exercice des agents sont limitées</t>
  </si>
  <si>
    <t>[UV08] Quels sont les deux documents les plus importants qu’un agent de sécurité en poste doit prendre en compte pour mener au mieux sa mission ?</t>
  </si>
  <si>
    <t>Les consignes générales et les consignes particulières</t>
  </si>
  <si>
    <t>Les consignes préfectorales et les mesures Vigipirate</t>
  </si>
  <si>
    <t>Les plans de l’entreprise et des transports en commun</t>
  </si>
  <si>
    <t>Le planning des heures de vacation et des congés</t>
  </si>
  <si>
    <t>[UV09] Votre employeur vous habilite pour effectuer des palpations lors d’une manifestation, que faites-vous au regard du cadre légal ?</t>
  </si>
  <si>
    <t>C’est exceptionnel donc je palpe</t>
  </si>
  <si>
    <t>Vous informez votre employeur que vous n’avez pas d’agrément de la CLAC et que vous n’avez pas le droit de le faire</t>
  </si>
  <si>
    <t>Vous acceptez car votre employeur a engagé sa responsabilité</t>
  </si>
  <si>
    <t>[UV02] Que risque un employeur qui a conclu un contrat de travail avec un agent de sécurité, non titulaire de la carte professionnelle ?</t>
  </si>
  <si>
    <t>1 an d’emprisonnement et 15 000 euros d’amende</t>
  </si>
  <si>
    <t>1 an d’emprisonnement et 2 000 euros d’amende</t>
  </si>
  <si>
    <t>2 ans d’emprisonnement et 30 000 euros d’amende</t>
  </si>
  <si>
    <t>[UV02] Le vol avec arme est qualifié de :</t>
  </si>
  <si>
    <t>[UV02] Une mission de gardiennage peut être sous-traitée :</t>
  </si>
  <si>
    <t>Selon le Code du commerce et les restrictions du Code de la Sécurité Intérieure</t>
  </si>
  <si>
    <t>En aucun cas, la sous-traitance étant interdite</t>
  </si>
  <si>
    <t>Sur autorisation spécifique du Préfet</t>
  </si>
  <si>
    <t>Sur autorisation du CNAPS</t>
  </si>
  <si>
    <t>Selon le Code du Commerce, comme toute prestation de service</t>
  </si>
  <si>
    <t>[UV08] Combien existe-t-il de zones de protection ?</t>
  </si>
  <si>
    <t>Trois</t>
  </si>
  <si>
    <t>[UV10] Votre employeur vous demande d’effectuer des palpations de sécurité lors d’un gala de bienfaisance réunissant 200 personnes. Que faites-vous ?</t>
  </si>
  <si>
    <t>Je ne peux pas refuser puisque je connais bien la technique</t>
  </si>
  <si>
    <t>Je refuse, ne souhaitant pas risquer de sanctions en cas de contrôle</t>
  </si>
  <si>
    <t>J’accepte parce que cette demande est légale</t>
  </si>
  <si>
    <t>Je refuse car il me faudrait bénéficier d’une prime de palpation</t>
  </si>
  <si>
    <t>[UV11] Lorsque l’opération est réalisée de nuit ou dans un lieu isolé ou à un moment où l’activité de l’entreprise utilisatrice est interrompue le chef de l’entreprise extérieure intéressé prend les mesures nécessaires pour :</t>
  </si>
  <si>
    <t>qu’aucun travailleur ne travaille isolément en un point où il ne pourrait être secouru à bref délai en cas d’accident</t>
  </si>
  <si>
    <t>que le travailleur soit toujours joint en moins de 10 minutes</t>
  </si>
  <si>
    <t>que le travailleur travaille seul en un point du site afin d’être tranquille</t>
  </si>
  <si>
    <t>que le travailleur ne soit jamais seul en tout point du site</t>
  </si>
  <si>
    <t>[UV06] Dans le magasin dont vous êtes l’agent pré-vol, vous apercevez une personne consommant des bonbons et des boissons dans le magasin. Une fois terminé sa consommation, et les emballages jetés cette personne continue ses courses normalement :</t>
  </si>
  <si>
    <t>Vous récupérer les emballages vides pour les remettre à vos collègues ils seront utiles lors de l’appréhension</t>
  </si>
  <si>
    <t>Vous prévenez vos collègues pour une entrave en sortie de caisse</t>
  </si>
  <si>
    <t>Vous prévenez la personne pour lui indiquer de ne plus recommencer et vous continuez votre travail sans plus vous occuper de cette personne</t>
  </si>
  <si>
    <t>Vous ne faites rien car cette personne continue ses courses qu’elle va donc payer en caisse. Ce n’est pas grave car elle va régler un caddie entier</t>
  </si>
  <si>
    <t>[UV12] Comment sont désignés les grands événements exposés à un risque exceptionnel de menace terroriste ?</t>
  </si>
  <si>
    <t>Par les organisateurs dans le dossier d’analyse des risques</t>
  </si>
  <si>
    <t>Par le Préfet suite aux déclarations obligatoires des organisateurs</t>
  </si>
  <si>
    <t>Par le Ministre de l’intérieur en fonction des derniers événements</t>
  </si>
  <si>
    <t>Par décret conformément à l’article L211-11-1 di CSI</t>
  </si>
  <si>
    <t>[UV08] Quelles sont les familles de détecteurs ?</t>
  </si>
  <si>
    <t>Optiques, thermiques, de mouvements, microphoniques</t>
  </si>
  <si>
    <t>D’ouverture, thermo, vélocinétique, olfactif</t>
  </si>
  <si>
    <t>Visuels, olfactif, de sons, de mouvements</t>
  </si>
  <si>
    <t>De mouvements, optiques, thermiques, étendus</t>
  </si>
  <si>
    <t>[UV12] Quels sont les faits autorisés et donc non passibles de poursuite en matière d’utilisation d’images de vidéoprotection ?</t>
  </si>
  <si>
    <t>Le fait de ne conserver les images que pendant un mois au maximum sauf procédure judiciaire en cous</t>
  </si>
  <si>
    <t>[UV11] En cas de défaillance du DATI, quelle est l’une des solutions alternatives pouvant être mise en place ?</t>
  </si>
  <si>
    <t>L’agent reste au PCS et n’effectue aucune ronde n’ayant pas de dispositif en bon état de fonctionnement</t>
  </si>
  <si>
    <t>L’agent envoie des SMS à un de ses collègues toutes les heures</t>
  </si>
  <si>
    <t>L’agent fait des appels sécuritaires conformément aux consignes de site</t>
  </si>
  <si>
    <t>L’agent de sécurité termine sa vacation normalement</t>
  </si>
  <si>
    <t>[UV11] Vous êtes au PCS votre agent est parti en levée de doute pour une alarme intrusion. Que faites-vous en attendant ?</t>
  </si>
  <si>
    <t>Je me concentre uniquement sur la centrale intrusion dans l’éventualité d’une nouvelle alarme</t>
  </si>
  <si>
    <t>Rien, j’attends que mon collègue me transmette les informations</t>
  </si>
  <si>
    <t>Je surveille la zone concernée à l’aide du système de vidéo surveillance</t>
  </si>
  <si>
    <t>Je préviens le client de l’établissement</t>
  </si>
  <si>
    <t>VRAC (5)</t>
  </si>
  <si>
    <t>VRAC (6)</t>
  </si>
  <si>
    <t>UV en vrac (20 questions)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</si>
</sst>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9"/>
      <color theme="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4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2" borderId="0" xfId="0" applyFill="1" applyAlignment="1">
      <alignment vertical="top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left" vertical="center"/>
    </xf>
    <xf numFmtId="0" fontId="0" fillId="4" borderId="0" xfId="0" applyFill="1" applyAlignment="1">
      <alignment vertical="top"/>
    </xf>
    <xf numFmtId="0" fontId="13" fillId="0" borderId="0" xfId="1" applyFont="1" applyAlignment="1">
      <alignment vertical="top"/>
    </xf>
    <xf numFmtId="0" fontId="10" fillId="5" borderId="0" xfId="1" applyFont="1" applyFill="1" applyAlignment="1">
      <alignment vertical="top"/>
    </xf>
    <xf numFmtId="0" fontId="14" fillId="5" borderId="0" xfId="1" applyFont="1" applyFill="1" applyAlignment="1">
      <alignment vertical="top"/>
    </xf>
    <xf numFmtId="0" fontId="15" fillId="0" borderId="0" xfId="0" applyFont="1" applyAlignment="1">
      <alignment vertical="center"/>
    </xf>
    <xf numFmtId="0" fontId="0" fillId="6" borderId="0" xfId="0" applyFill="1" applyAlignment="1">
      <alignment vertical="top"/>
    </xf>
  </cellXfs>
  <cellStyles count="2">
    <cellStyle name="Normal" xfId="0" builtinId="0"/>
    <cellStyle name="Normal 2" xfId="1" xr:uid="{739EAF5D-6DEC-4933-BEAA-58326FF9FE6A}"/>
  </cellStyles>
  <dxfs count="7">
    <dxf>
      <fill>
        <patternFill patternType="solid">
          <fgColor rgb="FFFFC000"/>
          <bgColor rgb="FF000000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325"/>
  <sheetViews>
    <sheetView tabSelected="1" workbookViewId="0">
      <pane ySplit="1" topLeftCell="A291" activePane="bottomLeft" state="frozen"/>
      <selection pane="bottomLeft" activeCell="A325" sqref="A325"/>
    </sheetView>
  </sheetViews>
  <sheetFormatPr baseColWidth="10" defaultColWidth="9.140625" defaultRowHeight="15" x14ac:dyDescent="0.25"/>
  <cols>
    <col min="1" max="1" width="8.5703125" style="6" customWidth="1"/>
    <col min="2" max="2" width="9.140625" style="6"/>
    <col min="3" max="3" width="59.28515625" style="2" customWidth="1"/>
    <col min="4" max="9" width="26.7109375" style="2" customWidth="1"/>
    <col min="10" max="10" width="9.140625" style="7"/>
    <col min="11" max="16384" width="9.140625" style="2"/>
  </cols>
  <sheetData>
    <row r="1" spans="1:10" x14ac:dyDescent="0.25">
      <c r="A1" s="5" t="s">
        <v>1525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25">
      <c r="A2" s="6" t="s">
        <v>1526</v>
      </c>
      <c r="B2" s="6" t="s">
        <v>10</v>
      </c>
      <c r="C2" s="2" t="s">
        <v>58</v>
      </c>
      <c r="D2" s="2" t="s">
        <v>114</v>
      </c>
      <c r="E2" s="2" t="s">
        <v>115</v>
      </c>
      <c r="F2" s="2" t="s">
        <v>116</v>
      </c>
      <c r="G2" s="2" t="s">
        <v>117</v>
      </c>
      <c r="H2" s="2" t="s">
        <v>89</v>
      </c>
      <c r="I2" s="2" t="s">
        <v>118</v>
      </c>
      <c r="J2" s="7" t="s">
        <v>11</v>
      </c>
    </row>
    <row r="3" spans="1:10" x14ac:dyDescent="0.25">
      <c r="A3" s="6" t="s">
        <v>1526</v>
      </c>
      <c r="B3" s="6" t="s">
        <v>12</v>
      </c>
      <c r="C3" s="2" t="s">
        <v>59</v>
      </c>
      <c r="D3" s="2" t="s">
        <v>119</v>
      </c>
      <c r="E3" s="2" t="s">
        <v>120</v>
      </c>
      <c r="F3" s="2" t="s">
        <v>121</v>
      </c>
      <c r="G3" s="2" t="s">
        <v>122</v>
      </c>
      <c r="H3" s="2" t="s">
        <v>89</v>
      </c>
      <c r="I3" s="2" t="s">
        <v>118</v>
      </c>
      <c r="J3" s="7" t="s">
        <v>13</v>
      </c>
    </row>
    <row r="4" spans="1:10" x14ac:dyDescent="0.25">
      <c r="A4" s="6" t="s">
        <v>1526</v>
      </c>
      <c r="B4" s="15" t="s">
        <v>14</v>
      </c>
      <c r="C4" s="2" t="s">
        <v>60</v>
      </c>
      <c r="D4" s="2" t="s">
        <v>123</v>
      </c>
      <c r="E4" s="2" t="s">
        <v>124</v>
      </c>
      <c r="F4" s="2" t="s">
        <v>125</v>
      </c>
      <c r="G4" s="2" t="s">
        <v>126</v>
      </c>
      <c r="H4" s="2" t="s">
        <v>127</v>
      </c>
      <c r="I4" s="2" t="s">
        <v>89</v>
      </c>
      <c r="J4" s="7" t="s">
        <v>11</v>
      </c>
    </row>
    <row r="5" spans="1:10" x14ac:dyDescent="0.25">
      <c r="A5" s="6" t="s">
        <v>1526</v>
      </c>
      <c r="B5" s="6" t="s">
        <v>15</v>
      </c>
      <c r="C5" s="2" t="s">
        <v>61</v>
      </c>
      <c r="D5" s="2" t="s">
        <v>128</v>
      </c>
      <c r="E5" s="2" t="s">
        <v>129</v>
      </c>
      <c r="F5" s="2" t="s">
        <v>130</v>
      </c>
      <c r="G5" s="2" t="s">
        <v>131</v>
      </c>
      <c r="H5" s="2" t="s">
        <v>89</v>
      </c>
      <c r="I5" s="2" t="s">
        <v>118</v>
      </c>
      <c r="J5" s="7" t="s">
        <v>13</v>
      </c>
    </row>
    <row r="6" spans="1:10" x14ac:dyDescent="0.25">
      <c r="A6" s="6" t="s">
        <v>1526</v>
      </c>
      <c r="B6" s="15" t="s">
        <v>16</v>
      </c>
      <c r="C6" s="2" t="s">
        <v>62</v>
      </c>
      <c r="D6" s="2" t="s">
        <v>132</v>
      </c>
      <c r="E6" s="2" t="s">
        <v>133</v>
      </c>
      <c r="F6" s="2" t="s">
        <v>134</v>
      </c>
      <c r="G6" s="2" t="s">
        <v>135</v>
      </c>
      <c r="H6" s="2" t="s">
        <v>89</v>
      </c>
      <c r="I6" s="2" t="s">
        <v>118</v>
      </c>
      <c r="J6" s="7" t="s">
        <v>17</v>
      </c>
    </row>
    <row r="7" spans="1:10" x14ac:dyDescent="0.25">
      <c r="A7" s="6" t="s">
        <v>1526</v>
      </c>
      <c r="B7" s="6" t="s">
        <v>18</v>
      </c>
      <c r="C7" s="2" t="s">
        <v>63</v>
      </c>
      <c r="D7" s="2" t="s">
        <v>136</v>
      </c>
      <c r="E7" s="2" t="s">
        <v>137</v>
      </c>
      <c r="F7" s="2" t="s">
        <v>138</v>
      </c>
      <c r="G7" s="2" t="s">
        <v>139</v>
      </c>
      <c r="H7" s="2" t="s">
        <v>89</v>
      </c>
      <c r="I7" s="2" t="s">
        <v>118</v>
      </c>
      <c r="J7" s="7" t="s">
        <v>11</v>
      </c>
    </row>
    <row r="8" spans="1:10" x14ac:dyDescent="0.25">
      <c r="A8" s="6" t="s">
        <v>1526</v>
      </c>
      <c r="B8" s="15" t="s">
        <v>19</v>
      </c>
      <c r="C8" s="2" t="s">
        <v>64</v>
      </c>
      <c r="D8" s="2" t="s">
        <v>140</v>
      </c>
      <c r="E8" s="2" t="s">
        <v>141</v>
      </c>
      <c r="F8" s="2" t="s">
        <v>142</v>
      </c>
      <c r="G8" s="2" t="s">
        <v>143</v>
      </c>
      <c r="H8" s="2" t="s">
        <v>89</v>
      </c>
      <c r="I8" s="2" t="s">
        <v>118</v>
      </c>
      <c r="J8" s="7" t="s">
        <v>20</v>
      </c>
    </row>
    <row r="9" spans="1:10" x14ac:dyDescent="0.25">
      <c r="A9" s="6" t="s">
        <v>1526</v>
      </c>
      <c r="B9" s="6" t="s">
        <v>21</v>
      </c>
      <c r="C9" s="2" t="s">
        <v>65</v>
      </c>
      <c r="D9" s="2" t="s">
        <v>144</v>
      </c>
      <c r="E9" s="2" t="s">
        <v>145</v>
      </c>
      <c r="F9" s="2" t="s">
        <v>146</v>
      </c>
      <c r="G9" s="2" t="s">
        <v>147</v>
      </c>
      <c r="H9" s="2" t="s">
        <v>89</v>
      </c>
      <c r="I9" s="2" t="s">
        <v>118</v>
      </c>
      <c r="J9" s="7" t="s">
        <v>22</v>
      </c>
    </row>
    <row r="10" spans="1:10" x14ac:dyDescent="0.25">
      <c r="A10" s="6" t="s">
        <v>1526</v>
      </c>
      <c r="B10" s="6" t="s">
        <v>23</v>
      </c>
      <c r="C10" s="2" t="s">
        <v>66</v>
      </c>
      <c r="D10" s="2" t="s">
        <v>148</v>
      </c>
      <c r="E10" s="2" t="s">
        <v>149</v>
      </c>
      <c r="F10" s="2" t="s">
        <v>150</v>
      </c>
      <c r="G10" s="2" t="s">
        <v>151</v>
      </c>
      <c r="H10" s="2" t="s">
        <v>89</v>
      </c>
      <c r="I10" s="2" t="s">
        <v>118</v>
      </c>
      <c r="J10" s="7" t="s">
        <v>13</v>
      </c>
    </row>
    <row r="11" spans="1:10" x14ac:dyDescent="0.25">
      <c r="A11" s="6" t="s">
        <v>1526</v>
      </c>
      <c r="B11" s="6" t="s">
        <v>24</v>
      </c>
      <c r="C11" s="2" t="s">
        <v>67</v>
      </c>
      <c r="D11" s="2" t="s">
        <v>152</v>
      </c>
      <c r="E11" s="2" t="s">
        <v>153</v>
      </c>
      <c r="F11" s="2" t="s">
        <v>154</v>
      </c>
      <c r="G11" s="2" t="s">
        <v>155</v>
      </c>
      <c r="H11" s="2" t="s">
        <v>89</v>
      </c>
      <c r="I11" s="2" t="s">
        <v>118</v>
      </c>
      <c r="J11" s="7" t="s">
        <v>17</v>
      </c>
    </row>
    <row r="12" spans="1:10" x14ac:dyDescent="0.25">
      <c r="A12" s="6" t="s">
        <v>1526</v>
      </c>
      <c r="B12" s="6" t="s">
        <v>25</v>
      </c>
      <c r="C12" s="2" t="s">
        <v>68</v>
      </c>
      <c r="D12" s="2" t="s">
        <v>156</v>
      </c>
      <c r="E12" s="2" t="s">
        <v>157</v>
      </c>
      <c r="F12" s="2" t="s">
        <v>158</v>
      </c>
      <c r="G12" s="2" t="s">
        <v>159</v>
      </c>
      <c r="H12" s="2" t="s">
        <v>89</v>
      </c>
      <c r="I12" s="2" t="s">
        <v>118</v>
      </c>
      <c r="J12" s="7" t="s">
        <v>20</v>
      </c>
    </row>
    <row r="13" spans="1:10" x14ac:dyDescent="0.25">
      <c r="A13" s="6" t="s">
        <v>1526</v>
      </c>
      <c r="B13" s="6" t="s">
        <v>26</v>
      </c>
      <c r="C13" s="2" t="s">
        <v>69</v>
      </c>
      <c r="D13" s="2" t="s">
        <v>160</v>
      </c>
      <c r="E13" s="2" t="s">
        <v>161</v>
      </c>
      <c r="F13" s="2" t="s">
        <v>162</v>
      </c>
      <c r="G13" s="2" t="s">
        <v>163</v>
      </c>
      <c r="H13" s="2" t="s">
        <v>89</v>
      </c>
      <c r="I13" s="2" t="s">
        <v>118</v>
      </c>
      <c r="J13" s="7" t="s">
        <v>17</v>
      </c>
    </row>
    <row r="14" spans="1:10" x14ac:dyDescent="0.25">
      <c r="A14" s="6" t="s">
        <v>1526</v>
      </c>
      <c r="B14" s="6" t="s">
        <v>27</v>
      </c>
      <c r="C14" s="2" t="s">
        <v>70</v>
      </c>
      <c r="D14" s="2" t="s">
        <v>164</v>
      </c>
      <c r="E14" s="2" t="s">
        <v>165</v>
      </c>
      <c r="F14" s="2" t="s">
        <v>166</v>
      </c>
      <c r="G14" s="2" t="s">
        <v>167</v>
      </c>
      <c r="H14" s="2" t="s">
        <v>89</v>
      </c>
      <c r="I14" s="2" t="s">
        <v>118</v>
      </c>
      <c r="J14" s="7" t="s">
        <v>13</v>
      </c>
    </row>
    <row r="15" spans="1:10" x14ac:dyDescent="0.25">
      <c r="A15" s="6" t="s">
        <v>1526</v>
      </c>
      <c r="B15" s="6" t="s">
        <v>28</v>
      </c>
      <c r="C15" s="2" t="s">
        <v>71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89</v>
      </c>
      <c r="I15" s="2" t="s">
        <v>118</v>
      </c>
      <c r="J15" s="7" t="s">
        <v>11</v>
      </c>
    </row>
    <row r="16" spans="1:10" x14ac:dyDescent="0.25">
      <c r="A16" s="6" t="s">
        <v>1526</v>
      </c>
      <c r="B16" s="6" t="s">
        <v>29</v>
      </c>
      <c r="C16" s="2" t="s">
        <v>72</v>
      </c>
      <c r="D16" s="2" t="s">
        <v>13</v>
      </c>
      <c r="E16" s="2" t="s">
        <v>20</v>
      </c>
      <c r="F16" s="2" t="s">
        <v>17</v>
      </c>
      <c r="G16" s="2" t="s">
        <v>22</v>
      </c>
      <c r="H16" s="2" t="s">
        <v>89</v>
      </c>
      <c r="I16" s="2" t="s">
        <v>118</v>
      </c>
      <c r="J16" s="7" t="s">
        <v>13</v>
      </c>
    </row>
    <row r="17" spans="1:10" x14ac:dyDescent="0.25">
      <c r="A17" s="6" t="s">
        <v>1526</v>
      </c>
      <c r="B17" s="6" t="s">
        <v>30</v>
      </c>
      <c r="C17" s="2" t="s">
        <v>73</v>
      </c>
      <c r="D17" s="2" t="s">
        <v>172</v>
      </c>
      <c r="E17" s="2" t="s">
        <v>173</v>
      </c>
      <c r="F17" s="2" t="s">
        <v>174</v>
      </c>
      <c r="G17" s="2" t="s">
        <v>175</v>
      </c>
      <c r="H17" s="2" t="s">
        <v>89</v>
      </c>
      <c r="I17" s="2" t="s">
        <v>118</v>
      </c>
      <c r="J17" s="7" t="s">
        <v>20</v>
      </c>
    </row>
    <row r="18" spans="1:10" x14ac:dyDescent="0.25">
      <c r="A18" s="6" t="s">
        <v>1526</v>
      </c>
      <c r="B18" s="6" t="s">
        <v>31</v>
      </c>
      <c r="C18" s="2" t="s">
        <v>74</v>
      </c>
      <c r="D18" s="2" t="s">
        <v>176</v>
      </c>
      <c r="E18" s="2" t="s">
        <v>177</v>
      </c>
      <c r="F18" s="2" t="s">
        <v>178</v>
      </c>
      <c r="G18" s="2" t="s">
        <v>179</v>
      </c>
      <c r="H18" s="2" t="s">
        <v>89</v>
      </c>
      <c r="I18" s="2" t="s">
        <v>118</v>
      </c>
      <c r="J18" s="7" t="s">
        <v>20</v>
      </c>
    </row>
    <row r="19" spans="1:10" x14ac:dyDescent="0.25">
      <c r="A19" s="6" t="s">
        <v>1526</v>
      </c>
      <c r="B19" s="6" t="s">
        <v>32</v>
      </c>
      <c r="C19" s="2" t="s">
        <v>75</v>
      </c>
      <c r="D19" s="2" t="s">
        <v>180</v>
      </c>
      <c r="E19" s="2" t="s">
        <v>181</v>
      </c>
      <c r="F19" s="2" t="s">
        <v>182</v>
      </c>
      <c r="G19" s="2" t="s">
        <v>183</v>
      </c>
      <c r="H19" s="2" t="s">
        <v>90</v>
      </c>
      <c r="I19" s="2" t="s">
        <v>118</v>
      </c>
      <c r="J19" s="7" t="s">
        <v>22</v>
      </c>
    </row>
    <row r="20" spans="1:10" x14ac:dyDescent="0.25">
      <c r="A20" s="6" t="s">
        <v>1526</v>
      </c>
      <c r="B20" s="15" t="s">
        <v>33</v>
      </c>
      <c r="C20" s="2" t="s">
        <v>76</v>
      </c>
      <c r="D20" s="2" t="s">
        <v>184</v>
      </c>
      <c r="E20" s="2" t="s">
        <v>185</v>
      </c>
      <c r="F20" s="2" t="s">
        <v>186</v>
      </c>
      <c r="G20" s="2" t="s">
        <v>187</v>
      </c>
      <c r="H20" s="2" t="s">
        <v>89</v>
      </c>
      <c r="I20" s="2" t="s">
        <v>118</v>
      </c>
      <c r="J20" s="7" t="s">
        <v>17</v>
      </c>
    </row>
    <row r="21" spans="1:10" x14ac:dyDescent="0.25">
      <c r="A21" s="6" t="s">
        <v>1526</v>
      </c>
      <c r="B21" s="6" t="s">
        <v>34</v>
      </c>
      <c r="C21" s="2" t="s">
        <v>77</v>
      </c>
      <c r="D21" s="2" t="s">
        <v>188</v>
      </c>
      <c r="E21" s="2" t="s">
        <v>189</v>
      </c>
      <c r="F21" s="2" t="s">
        <v>190</v>
      </c>
      <c r="G21" s="2" t="s">
        <v>191</v>
      </c>
      <c r="H21" s="2" t="s">
        <v>89</v>
      </c>
      <c r="I21" s="2" t="s">
        <v>118</v>
      </c>
      <c r="J21" s="7" t="s">
        <v>11</v>
      </c>
    </row>
    <row r="22" spans="1:10" x14ac:dyDescent="0.25">
      <c r="A22" s="6" t="s">
        <v>1527</v>
      </c>
      <c r="B22" s="6" t="s">
        <v>35</v>
      </c>
      <c r="C22" s="2" t="s">
        <v>78</v>
      </c>
      <c r="D22" s="2" t="s">
        <v>192</v>
      </c>
      <c r="E22" s="2" t="s">
        <v>193</v>
      </c>
      <c r="F22" s="2" t="s">
        <v>194</v>
      </c>
      <c r="G22" s="2" t="s">
        <v>195</v>
      </c>
      <c r="H22" s="2" t="s">
        <v>89</v>
      </c>
      <c r="I22" s="2" t="s">
        <v>118</v>
      </c>
      <c r="J22" s="7" t="s">
        <v>20</v>
      </c>
    </row>
    <row r="23" spans="1:10" x14ac:dyDescent="0.25">
      <c r="A23" s="6" t="s">
        <v>1527</v>
      </c>
      <c r="B23" s="6" t="s">
        <v>36</v>
      </c>
      <c r="C23" s="2" t="s">
        <v>79</v>
      </c>
      <c r="D23" s="2" t="s">
        <v>196</v>
      </c>
      <c r="E23" s="2" t="s">
        <v>197</v>
      </c>
      <c r="F23" s="2" t="s">
        <v>198</v>
      </c>
      <c r="G23" s="2" t="s">
        <v>199</v>
      </c>
      <c r="H23" s="2" t="s">
        <v>89</v>
      </c>
      <c r="I23" s="2" t="s">
        <v>118</v>
      </c>
      <c r="J23" s="7" t="s">
        <v>22</v>
      </c>
    </row>
    <row r="24" spans="1:10" x14ac:dyDescent="0.25">
      <c r="A24" s="6" t="s">
        <v>1527</v>
      </c>
      <c r="B24" s="6" t="s">
        <v>37</v>
      </c>
      <c r="C24" s="2" t="s">
        <v>80</v>
      </c>
      <c r="D24" s="2" t="s">
        <v>200</v>
      </c>
      <c r="E24" s="2" t="s">
        <v>201</v>
      </c>
      <c r="F24" s="2" t="s">
        <v>202</v>
      </c>
      <c r="G24" s="2" t="s">
        <v>203</v>
      </c>
      <c r="H24" s="2" t="s">
        <v>89</v>
      </c>
      <c r="I24" s="2" t="s">
        <v>118</v>
      </c>
      <c r="J24" s="7" t="s">
        <v>17</v>
      </c>
    </row>
    <row r="25" spans="1:10" x14ac:dyDescent="0.25">
      <c r="A25" s="6" t="s">
        <v>1527</v>
      </c>
      <c r="B25" s="6" t="s">
        <v>38</v>
      </c>
      <c r="C25" s="2" t="s">
        <v>81</v>
      </c>
      <c r="D25" s="2" t="s">
        <v>204</v>
      </c>
      <c r="E25" s="2" t="s">
        <v>205</v>
      </c>
      <c r="F25" s="2" t="s">
        <v>206</v>
      </c>
      <c r="G25" s="2" t="s">
        <v>207</v>
      </c>
      <c r="H25" s="2" t="s">
        <v>89</v>
      </c>
      <c r="I25" s="2" t="s">
        <v>118</v>
      </c>
      <c r="J25" s="7" t="s">
        <v>11</v>
      </c>
    </row>
    <row r="26" spans="1:10" x14ac:dyDescent="0.25">
      <c r="A26" s="6" t="s">
        <v>1527</v>
      </c>
      <c r="B26" s="6" t="s">
        <v>39</v>
      </c>
      <c r="C26" s="2" t="s">
        <v>82</v>
      </c>
      <c r="D26" s="2" t="s">
        <v>208</v>
      </c>
      <c r="E26" s="2" t="s">
        <v>209</v>
      </c>
      <c r="F26" s="2" t="s">
        <v>210</v>
      </c>
      <c r="G26" s="2" t="s">
        <v>211</v>
      </c>
      <c r="H26" s="2" t="s">
        <v>89</v>
      </c>
      <c r="I26" s="2" t="s">
        <v>118</v>
      </c>
      <c r="J26" s="7" t="s">
        <v>20</v>
      </c>
    </row>
    <row r="27" spans="1:10" x14ac:dyDescent="0.25">
      <c r="A27" s="6" t="s">
        <v>1527</v>
      </c>
      <c r="B27" s="6" t="s">
        <v>40</v>
      </c>
      <c r="C27" s="2" t="s">
        <v>83</v>
      </c>
      <c r="D27" s="2" t="s">
        <v>212</v>
      </c>
      <c r="E27" s="2" t="s">
        <v>213</v>
      </c>
      <c r="F27" s="2" t="s">
        <v>214</v>
      </c>
      <c r="G27" s="2" t="s">
        <v>215</v>
      </c>
      <c r="H27" s="2" t="s">
        <v>89</v>
      </c>
      <c r="I27" s="2" t="s">
        <v>118</v>
      </c>
      <c r="J27" s="7" t="s">
        <v>20</v>
      </c>
    </row>
    <row r="28" spans="1:10" x14ac:dyDescent="0.25">
      <c r="A28" s="6" t="s">
        <v>1527</v>
      </c>
      <c r="B28" s="6" t="s">
        <v>41</v>
      </c>
      <c r="C28" s="2" t="s">
        <v>84</v>
      </c>
      <c r="D28" s="2" t="s">
        <v>216</v>
      </c>
      <c r="E28" s="2" t="s">
        <v>217</v>
      </c>
      <c r="F28" s="2" t="s">
        <v>218</v>
      </c>
      <c r="G28" s="2" t="s">
        <v>219</v>
      </c>
      <c r="H28" s="2" t="s">
        <v>89</v>
      </c>
      <c r="I28" s="2" t="s">
        <v>118</v>
      </c>
      <c r="J28" s="7" t="s">
        <v>20</v>
      </c>
    </row>
    <row r="29" spans="1:10" x14ac:dyDescent="0.25">
      <c r="A29" s="6" t="s">
        <v>1527</v>
      </c>
      <c r="B29" s="6" t="s">
        <v>42</v>
      </c>
      <c r="C29" s="2" t="s">
        <v>85</v>
      </c>
      <c r="D29" s="2" t="s">
        <v>220</v>
      </c>
      <c r="E29" s="2" t="s">
        <v>221</v>
      </c>
      <c r="F29" s="2" t="s">
        <v>222</v>
      </c>
      <c r="G29" s="2" t="s">
        <v>223</v>
      </c>
      <c r="H29" s="2" t="s">
        <v>89</v>
      </c>
      <c r="I29" s="2" t="s">
        <v>118</v>
      </c>
      <c r="J29" s="7" t="s">
        <v>13</v>
      </c>
    </row>
    <row r="30" spans="1:10" x14ac:dyDescent="0.25">
      <c r="A30" s="6" t="s">
        <v>1527</v>
      </c>
      <c r="B30" s="6" t="s">
        <v>43</v>
      </c>
      <c r="C30" s="2" t="s">
        <v>86</v>
      </c>
      <c r="D30" s="2" t="s">
        <v>224</v>
      </c>
      <c r="E30" s="2" t="s">
        <v>225</v>
      </c>
      <c r="F30" s="2" t="s">
        <v>226</v>
      </c>
      <c r="G30" s="2" t="s">
        <v>227</v>
      </c>
      <c r="H30" s="2" t="s">
        <v>89</v>
      </c>
      <c r="I30" s="2" t="s">
        <v>118</v>
      </c>
      <c r="J30" s="7" t="s">
        <v>13</v>
      </c>
    </row>
    <row r="31" spans="1:10" x14ac:dyDescent="0.25">
      <c r="A31" s="6" t="s">
        <v>1527</v>
      </c>
      <c r="B31" s="6" t="s">
        <v>44</v>
      </c>
      <c r="C31" s="2" t="s">
        <v>87</v>
      </c>
      <c r="D31" s="2" t="s">
        <v>228</v>
      </c>
      <c r="E31" s="2" t="s">
        <v>229</v>
      </c>
      <c r="F31" s="2" t="s">
        <v>230</v>
      </c>
      <c r="G31" s="2" t="s">
        <v>231</v>
      </c>
      <c r="H31" s="2" t="s">
        <v>89</v>
      </c>
      <c r="I31" s="2" t="s">
        <v>118</v>
      </c>
      <c r="J31" s="7" t="s">
        <v>11</v>
      </c>
    </row>
    <row r="32" spans="1:10" x14ac:dyDescent="0.25">
      <c r="A32" s="6" t="s">
        <v>1527</v>
      </c>
      <c r="B32" s="6" t="s">
        <v>45</v>
      </c>
      <c r="C32" s="2" t="s">
        <v>46</v>
      </c>
      <c r="D32" s="2" t="s">
        <v>93</v>
      </c>
      <c r="E32" s="2" t="s">
        <v>101</v>
      </c>
      <c r="F32" s="2" t="s">
        <v>102</v>
      </c>
      <c r="G32" s="2" t="s">
        <v>103</v>
      </c>
      <c r="H32" s="2" t="s">
        <v>89</v>
      </c>
      <c r="I32" s="2" t="s">
        <v>118</v>
      </c>
      <c r="J32" s="7" t="s">
        <v>17</v>
      </c>
    </row>
    <row r="33" spans="1:10" x14ac:dyDescent="0.25">
      <c r="A33" s="6" t="s">
        <v>1527</v>
      </c>
      <c r="B33" s="6" t="s">
        <v>47</v>
      </c>
      <c r="C33" s="2" t="s">
        <v>48</v>
      </c>
      <c r="D33" s="2" t="s">
        <v>94</v>
      </c>
      <c r="E33" s="2" t="s">
        <v>100</v>
      </c>
      <c r="F33" s="2" t="s">
        <v>104</v>
      </c>
      <c r="G33" s="2" t="s">
        <v>105</v>
      </c>
      <c r="H33" s="2" t="s">
        <v>89</v>
      </c>
      <c r="I33" s="2" t="s">
        <v>118</v>
      </c>
      <c r="J33" s="7" t="s">
        <v>20</v>
      </c>
    </row>
    <row r="34" spans="1:10" x14ac:dyDescent="0.25">
      <c r="A34" s="6" t="s">
        <v>1527</v>
      </c>
      <c r="B34" s="6" t="s">
        <v>49</v>
      </c>
      <c r="C34" s="2" t="s">
        <v>50</v>
      </c>
      <c r="D34" s="2" t="s">
        <v>95</v>
      </c>
      <c r="E34" s="2" t="s">
        <v>99</v>
      </c>
      <c r="F34" s="2" t="s">
        <v>106</v>
      </c>
      <c r="G34" s="2" t="s">
        <v>107</v>
      </c>
      <c r="H34" s="2" t="s">
        <v>89</v>
      </c>
      <c r="I34" s="2" t="s">
        <v>118</v>
      </c>
      <c r="J34" s="7" t="s">
        <v>13</v>
      </c>
    </row>
    <row r="35" spans="1:10" x14ac:dyDescent="0.25">
      <c r="A35" s="6" t="s">
        <v>1527</v>
      </c>
      <c r="B35" s="6" t="s">
        <v>51</v>
      </c>
      <c r="C35" s="2" t="s">
        <v>52</v>
      </c>
      <c r="D35" s="2" t="s">
        <v>96</v>
      </c>
      <c r="E35" s="2" t="s">
        <v>108</v>
      </c>
      <c r="F35" s="2" t="s">
        <v>109</v>
      </c>
      <c r="G35" s="2" t="s">
        <v>110</v>
      </c>
      <c r="H35" s="2" t="s">
        <v>89</v>
      </c>
      <c r="I35" s="2" t="s">
        <v>118</v>
      </c>
      <c r="J35" s="7" t="s">
        <v>17</v>
      </c>
    </row>
    <row r="36" spans="1:10" x14ac:dyDescent="0.25">
      <c r="A36" s="6" t="s">
        <v>1527</v>
      </c>
      <c r="B36" s="6" t="s">
        <v>53</v>
      </c>
      <c r="C36" s="2" t="s">
        <v>54</v>
      </c>
      <c r="D36" s="2" t="s">
        <v>97</v>
      </c>
      <c r="E36" s="2" t="s">
        <v>111</v>
      </c>
      <c r="F36" s="2" t="s">
        <v>112</v>
      </c>
      <c r="G36" s="2" t="s">
        <v>113</v>
      </c>
      <c r="H36" s="2" t="s">
        <v>91</v>
      </c>
      <c r="I36" s="2" t="s">
        <v>118</v>
      </c>
      <c r="J36" s="7" t="s">
        <v>22</v>
      </c>
    </row>
    <row r="37" spans="1:10" x14ac:dyDescent="0.25">
      <c r="A37" s="6" t="s">
        <v>1527</v>
      </c>
      <c r="B37" s="6" t="s">
        <v>55</v>
      </c>
      <c r="C37" s="2" t="s">
        <v>56</v>
      </c>
      <c r="D37" s="2" t="s">
        <v>98</v>
      </c>
      <c r="E37" s="2" t="s">
        <v>232</v>
      </c>
      <c r="F37" s="2" t="s">
        <v>233</v>
      </c>
      <c r="G37" s="2" t="s">
        <v>234</v>
      </c>
      <c r="H37" s="2" t="s">
        <v>92</v>
      </c>
      <c r="I37" s="2" t="s">
        <v>118</v>
      </c>
      <c r="J37" s="7" t="s">
        <v>20</v>
      </c>
    </row>
    <row r="38" spans="1:10" x14ac:dyDescent="0.25">
      <c r="A38" s="6" t="s">
        <v>1527</v>
      </c>
      <c r="B38" s="6" t="s">
        <v>57</v>
      </c>
      <c r="C38" s="2" t="s">
        <v>88</v>
      </c>
      <c r="D38" s="2" t="s">
        <v>235</v>
      </c>
      <c r="E38" s="2" t="s">
        <v>236</v>
      </c>
      <c r="F38" s="2" t="s">
        <v>237</v>
      </c>
      <c r="G38" s="2" t="s">
        <v>238</v>
      </c>
      <c r="H38" s="2" t="s">
        <v>89</v>
      </c>
      <c r="I38" s="2" t="s">
        <v>118</v>
      </c>
      <c r="J38" s="7" t="s">
        <v>13</v>
      </c>
    </row>
    <row r="39" spans="1:10" x14ac:dyDescent="0.25">
      <c r="A39" s="6" t="s">
        <v>1528</v>
      </c>
      <c r="B39" s="15" t="s">
        <v>10</v>
      </c>
      <c r="C39" s="2" t="s">
        <v>271</v>
      </c>
      <c r="D39" s="2" t="s">
        <v>272</v>
      </c>
      <c r="E39" s="2" t="s">
        <v>273</v>
      </c>
      <c r="F39" s="2" t="s">
        <v>274</v>
      </c>
      <c r="G39" s="2" t="s">
        <v>275</v>
      </c>
      <c r="H39" s="2" t="s">
        <v>89</v>
      </c>
      <c r="J39" s="7" t="s">
        <v>17</v>
      </c>
    </row>
    <row r="40" spans="1:10" x14ac:dyDescent="0.25">
      <c r="A40" s="6" t="s">
        <v>1528</v>
      </c>
      <c r="B40" s="6" t="s">
        <v>12</v>
      </c>
      <c r="C40" s="2" t="s">
        <v>276</v>
      </c>
      <c r="D40" s="2" t="s">
        <v>277</v>
      </c>
      <c r="E40" s="2" t="s">
        <v>278</v>
      </c>
      <c r="F40" s="2" t="s">
        <v>279</v>
      </c>
      <c r="G40" s="2" t="s">
        <v>280</v>
      </c>
      <c r="H40" s="2" t="s">
        <v>89</v>
      </c>
      <c r="J40" s="7" t="s">
        <v>20</v>
      </c>
    </row>
    <row r="41" spans="1:10" x14ac:dyDescent="0.25">
      <c r="A41" s="6" t="s">
        <v>1528</v>
      </c>
      <c r="B41" s="6" t="s">
        <v>14</v>
      </c>
      <c r="C41" s="2" t="s">
        <v>281</v>
      </c>
      <c r="D41" s="2" t="s">
        <v>282</v>
      </c>
      <c r="E41" s="2" t="s">
        <v>283</v>
      </c>
      <c r="F41" s="2" t="s">
        <v>284</v>
      </c>
      <c r="G41" s="2" t="s">
        <v>285</v>
      </c>
      <c r="H41" s="2" t="s">
        <v>89</v>
      </c>
      <c r="J41" s="7" t="s">
        <v>11</v>
      </c>
    </row>
    <row r="42" spans="1:10" x14ac:dyDescent="0.25">
      <c r="A42" s="6" t="s">
        <v>1528</v>
      </c>
      <c r="B42" s="6" t="s">
        <v>15</v>
      </c>
      <c r="C42" s="2" t="s">
        <v>286</v>
      </c>
      <c r="D42" s="2" t="s">
        <v>287</v>
      </c>
      <c r="E42" s="2" t="s">
        <v>288</v>
      </c>
      <c r="F42" s="2" t="s">
        <v>289</v>
      </c>
      <c r="G42" s="2" t="s">
        <v>290</v>
      </c>
      <c r="H42" s="2" t="s">
        <v>89</v>
      </c>
      <c r="J42" s="7" t="s">
        <v>13</v>
      </c>
    </row>
    <row r="43" spans="1:10" x14ac:dyDescent="0.25">
      <c r="A43" s="6" t="s">
        <v>1528</v>
      </c>
      <c r="B43" s="6" t="s">
        <v>16</v>
      </c>
      <c r="C43" s="2" t="s">
        <v>291</v>
      </c>
      <c r="D43" s="2" t="s">
        <v>292</v>
      </c>
      <c r="E43" s="2" t="s">
        <v>293</v>
      </c>
      <c r="F43" s="2" t="s">
        <v>294</v>
      </c>
      <c r="G43" s="2" t="s">
        <v>295</v>
      </c>
      <c r="H43" s="2" t="s">
        <v>89</v>
      </c>
      <c r="J43" s="7" t="s">
        <v>20</v>
      </c>
    </row>
    <row r="44" spans="1:10" x14ac:dyDescent="0.25">
      <c r="A44" s="6" t="s">
        <v>1528</v>
      </c>
      <c r="B44" s="6" t="s">
        <v>18</v>
      </c>
      <c r="C44" s="2" t="s">
        <v>296</v>
      </c>
      <c r="D44" s="2" t="s">
        <v>297</v>
      </c>
      <c r="E44" s="2" t="s">
        <v>298</v>
      </c>
      <c r="F44" s="2" t="s">
        <v>299</v>
      </c>
      <c r="G44" s="2" t="s">
        <v>300</v>
      </c>
      <c r="H44" s="2" t="s">
        <v>89</v>
      </c>
      <c r="J44" s="7" t="s">
        <v>13</v>
      </c>
    </row>
    <row r="45" spans="1:10" x14ac:dyDescent="0.25">
      <c r="A45" s="6" t="s">
        <v>1528</v>
      </c>
      <c r="B45" s="6" t="s">
        <v>19</v>
      </c>
      <c r="C45" s="2" t="s">
        <v>301</v>
      </c>
      <c r="D45" s="2" t="s">
        <v>302</v>
      </c>
      <c r="E45" s="2" t="s">
        <v>303</v>
      </c>
      <c r="F45" s="2" t="s">
        <v>304</v>
      </c>
      <c r="G45" s="2" t="s">
        <v>305</v>
      </c>
      <c r="H45" s="2" t="s">
        <v>89</v>
      </c>
      <c r="J45" s="7" t="s">
        <v>17</v>
      </c>
    </row>
    <row r="46" spans="1:10" x14ac:dyDescent="0.25">
      <c r="A46" s="6" t="s">
        <v>1528</v>
      </c>
      <c r="B46" s="6" t="s">
        <v>21</v>
      </c>
      <c r="C46" s="2" t="s">
        <v>306</v>
      </c>
      <c r="D46" s="2" t="s">
        <v>307</v>
      </c>
      <c r="E46" s="2" t="s">
        <v>308</v>
      </c>
      <c r="F46" s="2" t="s">
        <v>309</v>
      </c>
      <c r="G46" s="2" t="s">
        <v>310</v>
      </c>
      <c r="H46" s="2" t="s">
        <v>89</v>
      </c>
      <c r="J46" s="7" t="s">
        <v>13</v>
      </c>
    </row>
    <row r="47" spans="1:10" x14ac:dyDescent="0.25">
      <c r="A47" s="6" t="s">
        <v>1528</v>
      </c>
      <c r="B47" s="6" t="s">
        <v>23</v>
      </c>
      <c r="C47" s="2" t="s">
        <v>311</v>
      </c>
      <c r="D47" s="2" t="s">
        <v>312</v>
      </c>
      <c r="E47" s="2" t="s">
        <v>313</v>
      </c>
      <c r="F47" s="2" t="s">
        <v>314</v>
      </c>
      <c r="G47" s="2" t="s">
        <v>315</v>
      </c>
      <c r="H47" s="2" t="s">
        <v>89</v>
      </c>
      <c r="J47" s="7" t="s">
        <v>11</v>
      </c>
    </row>
    <row r="48" spans="1:10" x14ac:dyDescent="0.25">
      <c r="A48" s="6" t="s">
        <v>1528</v>
      </c>
      <c r="B48" s="6" t="s">
        <v>24</v>
      </c>
      <c r="C48" s="2" t="s">
        <v>316</v>
      </c>
      <c r="D48" s="2" t="s">
        <v>317</v>
      </c>
      <c r="E48" s="2" t="s">
        <v>318</v>
      </c>
      <c r="F48" s="2" t="s">
        <v>319</v>
      </c>
      <c r="G48" s="2" t="s">
        <v>320</v>
      </c>
      <c r="H48" s="2" t="s">
        <v>89</v>
      </c>
      <c r="J48" s="7" t="s">
        <v>11</v>
      </c>
    </row>
    <row r="49" spans="1:10" x14ac:dyDescent="0.25">
      <c r="A49" s="6" t="s">
        <v>1529</v>
      </c>
      <c r="B49" s="15" t="s">
        <v>10</v>
      </c>
      <c r="C49" s="2" t="s">
        <v>338</v>
      </c>
      <c r="D49" s="2" t="s">
        <v>339</v>
      </c>
      <c r="E49" s="2" t="s">
        <v>340</v>
      </c>
      <c r="F49" s="2" t="s">
        <v>341</v>
      </c>
      <c r="G49" s="2" t="s">
        <v>342</v>
      </c>
      <c r="H49" s="2" t="s">
        <v>89</v>
      </c>
      <c r="J49" s="7" t="s">
        <v>20</v>
      </c>
    </row>
    <row r="50" spans="1:10" x14ac:dyDescent="0.25">
      <c r="A50" s="6" t="s">
        <v>1529</v>
      </c>
      <c r="B50" s="6" t="s">
        <v>12</v>
      </c>
      <c r="C50" s="2" t="s">
        <v>343</v>
      </c>
      <c r="D50" s="2" t="s">
        <v>339</v>
      </c>
      <c r="E50" s="2" t="s">
        <v>344</v>
      </c>
      <c r="F50" s="2" t="s">
        <v>341</v>
      </c>
      <c r="G50" s="2" t="s">
        <v>345</v>
      </c>
      <c r="H50" s="2" t="s">
        <v>89</v>
      </c>
      <c r="J50" s="7" t="s">
        <v>17</v>
      </c>
    </row>
    <row r="51" spans="1:10" x14ac:dyDescent="0.25">
      <c r="A51" s="6" t="s">
        <v>1529</v>
      </c>
      <c r="B51" s="15" t="s">
        <v>14</v>
      </c>
      <c r="C51" s="2" t="s">
        <v>346</v>
      </c>
      <c r="D51" s="2" t="s">
        <v>344</v>
      </c>
      <c r="E51" s="2" t="s">
        <v>340</v>
      </c>
      <c r="F51" s="2" t="s">
        <v>341</v>
      </c>
      <c r="G51" s="2" t="s">
        <v>345</v>
      </c>
      <c r="H51" s="2" t="s">
        <v>89</v>
      </c>
      <c r="J51" s="7" t="s">
        <v>13</v>
      </c>
    </row>
    <row r="52" spans="1:10" x14ac:dyDescent="0.25">
      <c r="A52" s="6" t="s">
        <v>1529</v>
      </c>
      <c r="B52" s="6" t="s">
        <v>15</v>
      </c>
      <c r="C52" s="2" t="s">
        <v>347</v>
      </c>
      <c r="D52" s="2" t="s">
        <v>348</v>
      </c>
      <c r="E52" s="2" t="s">
        <v>349</v>
      </c>
      <c r="F52" s="2" t="s">
        <v>350</v>
      </c>
      <c r="G52" s="2" t="s">
        <v>351</v>
      </c>
      <c r="H52" s="2" t="s">
        <v>352</v>
      </c>
      <c r="J52" s="7" t="s">
        <v>22</v>
      </c>
    </row>
    <row r="53" spans="1:10" x14ac:dyDescent="0.25">
      <c r="A53" s="6" t="s">
        <v>1529</v>
      </c>
      <c r="B53" s="6" t="s">
        <v>16</v>
      </c>
      <c r="C53" s="2" t="s">
        <v>353</v>
      </c>
      <c r="D53" s="2" t="s">
        <v>354</v>
      </c>
      <c r="E53" s="2" t="s">
        <v>355</v>
      </c>
      <c r="F53" s="2" t="s">
        <v>356</v>
      </c>
      <c r="G53" s="2" t="s">
        <v>357</v>
      </c>
      <c r="H53" s="2" t="s">
        <v>89</v>
      </c>
      <c r="J53" s="7" t="s">
        <v>13</v>
      </c>
    </row>
    <row r="54" spans="1:10" x14ac:dyDescent="0.25">
      <c r="A54" s="6" t="s">
        <v>1529</v>
      </c>
      <c r="B54" s="6" t="s">
        <v>18</v>
      </c>
      <c r="C54" s="2" t="s">
        <v>358</v>
      </c>
      <c r="D54" s="2" t="s">
        <v>359</v>
      </c>
      <c r="E54" s="2" t="s">
        <v>360</v>
      </c>
      <c r="F54" s="2" t="s">
        <v>361</v>
      </c>
      <c r="G54" s="2" t="s">
        <v>362</v>
      </c>
      <c r="H54" s="2" t="s">
        <v>89</v>
      </c>
      <c r="J54" s="7" t="s">
        <v>17</v>
      </c>
    </row>
    <row r="55" spans="1:10" x14ac:dyDescent="0.25">
      <c r="A55" s="6" t="s">
        <v>1529</v>
      </c>
      <c r="B55" s="6" t="s">
        <v>19</v>
      </c>
      <c r="C55" s="2" t="s">
        <v>363</v>
      </c>
      <c r="D55" s="2" t="s">
        <v>364</v>
      </c>
      <c r="E55" s="2" t="s">
        <v>365</v>
      </c>
      <c r="F55" s="2" t="s">
        <v>366</v>
      </c>
      <c r="G55" s="2" t="s">
        <v>367</v>
      </c>
      <c r="H55" s="2" t="s">
        <v>368</v>
      </c>
      <c r="J55" s="7" t="s">
        <v>22</v>
      </c>
    </row>
    <row r="56" spans="1:10" x14ac:dyDescent="0.25">
      <c r="A56" s="6" t="s">
        <v>1529</v>
      </c>
      <c r="B56" s="6" t="s">
        <v>21</v>
      </c>
      <c r="C56" s="2" t="s">
        <v>369</v>
      </c>
      <c r="D56" s="2" t="s">
        <v>370</v>
      </c>
      <c r="E56" s="2" t="s">
        <v>371</v>
      </c>
      <c r="F56" s="2" t="s">
        <v>372</v>
      </c>
      <c r="G56" s="2" t="s">
        <v>373</v>
      </c>
      <c r="H56" s="2" t="s">
        <v>89</v>
      </c>
      <c r="J56" s="7" t="s">
        <v>11</v>
      </c>
    </row>
    <row r="57" spans="1:10" x14ac:dyDescent="0.25">
      <c r="A57" s="6" t="s">
        <v>1529</v>
      </c>
      <c r="B57" s="6" t="s">
        <v>23</v>
      </c>
      <c r="C57" s="2" t="s">
        <v>374</v>
      </c>
      <c r="D57" s="2" t="s">
        <v>375</v>
      </c>
      <c r="E57" s="2" t="s">
        <v>376</v>
      </c>
      <c r="F57" s="2" t="s">
        <v>377</v>
      </c>
      <c r="G57" s="2" t="s">
        <v>378</v>
      </c>
      <c r="H57" s="2" t="s">
        <v>89</v>
      </c>
      <c r="J57" s="7" t="s">
        <v>20</v>
      </c>
    </row>
    <row r="58" spans="1:10" x14ac:dyDescent="0.25">
      <c r="A58" s="6" t="s">
        <v>1529</v>
      </c>
      <c r="B58" s="6" t="s">
        <v>24</v>
      </c>
      <c r="C58" s="2" t="s">
        <v>379</v>
      </c>
      <c r="D58" s="2" t="s">
        <v>380</v>
      </c>
      <c r="E58" s="2" t="s">
        <v>381</v>
      </c>
      <c r="F58" s="2" t="s">
        <v>382</v>
      </c>
      <c r="G58" s="2" t="s">
        <v>383</v>
      </c>
      <c r="H58" s="2" t="s">
        <v>89</v>
      </c>
      <c r="J58" s="7" t="s">
        <v>17</v>
      </c>
    </row>
    <row r="59" spans="1:10" x14ac:dyDescent="0.25">
      <c r="A59" s="6" t="s">
        <v>1529</v>
      </c>
      <c r="B59" s="6" t="s">
        <v>25</v>
      </c>
      <c r="C59" s="2" t="s">
        <v>384</v>
      </c>
      <c r="D59" s="2" t="s">
        <v>385</v>
      </c>
      <c r="E59" s="2" t="s">
        <v>386</v>
      </c>
      <c r="F59" s="2" t="s">
        <v>387</v>
      </c>
      <c r="G59" s="2" t="s">
        <v>378</v>
      </c>
      <c r="H59" s="2" t="s">
        <v>89</v>
      </c>
      <c r="J59" s="7" t="s">
        <v>20</v>
      </c>
    </row>
    <row r="60" spans="1:10" x14ac:dyDescent="0.25">
      <c r="A60" s="6" t="s">
        <v>1529</v>
      </c>
      <c r="B60" s="6" t="s">
        <v>26</v>
      </c>
      <c r="C60" s="2" t="s">
        <v>388</v>
      </c>
      <c r="D60" s="2" t="s">
        <v>389</v>
      </c>
      <c r="E60" s="2" t="s">
        <v>390</v>
      </c>
      <c r="F60" s="2" t="s">
        <v>391</v>
      </c>
      <c r="G60" s="2" t="s">
        <v>392</v>
      </c>
      <c r="H60" s="2" t="s">
        <v>89</v>
      </c>
      <c r="J60" s="7" t="s">
        <v>11</v>
      </c>
    </row>
    <row r="61" spans="1:10" x14ac:dyDescent="0.25">
      <c r="A61" s="6" t="s">
        <v>1529</v>
      </c>
      <c r="B61" s="6" t="s">
        <v>27</v>
      </c>
      <c r="C61" s="2" t="s">
        <v>393</v>
      </c>
      <c r="D61" s="2" t="s">
        <v>394</v>
      </c>
      <c r="E61" s="2" t="s">
        <v>395</v>
      </c>
      <c r="F61" s="2" t="s">
        <v>396</v>
      </c>
      <c r="G61" s="2" t="s">
        <v>397</v>
      </c>
      <c r="H61" s="2" t="s">
        <v>89</v>
      </c>
      <c r="J61" s="7" t="s">
        <v>20</v>
      </c>
    </row>
    <row r="62" spans="1:10" x14ac:dyDescent="0.25">
      <c r="A62" s="6" t="s">
        <v>1529</v>
      </c>
      <c r="B62" s="6" t="s">
        <v>28</v>
      </c>
      <c r="C62" s="2" t="s">
        <v>398</v>
      </c>
      <c r="D62" s="2" t="s">
        <v>399</v>
      </c>
      <c r="E62" s="2" t="s">
        <v>400</v>
      </c>
      <c r="F62" s="2" t="s">
        <v>401</v>
      </c>
      <c r="G62" s="2" t="s">
        <v>402</v>
      </c>
      <c r="H62" s="2" t="s">
        <v>403</v>
      </c>
      <c r="J62" s="7" t="s">
        <v>22</v>
      </c>
    </row>
    <row r="63" spans="1:10" x14ac:dyDescent="0.25">
      <c r="A63" s="6" t="s">
        <v>1529</v>
      </c>
      <c r="B63" s="6" t="s">
        <v>29</v>
      </c>
      <c r="C63" s="2" t="s">
        <v>404</v>
      </c>
      <c r="D63" s="2" t="s">
        <v>405</v>
      </c>
      <c r="E63" s="2" t="s">
        <v>406</v>
      </c>
      <c r="F63" s="2" t="s">
        <v>407</v>
      </c>
      <c r="G63" s="2" t="s">
        <v>408</v>
      </c>
      <c r="H63" s="2" t="s">
        <v>89</v>
      </c>
      <c r="J63" s="7" t="s">
        <v>13</v>
      </c>
    </row>
    <row r="64" spans="1:10" x14ac:dyDescent="0.25">
      <c r="A64" s="6" t="s">
        <v>1529</v>
      </c>
      <c r="B64" s="6" t="s">
        <v>30</v>
      </c>
      <c r="C64" s="2" t="s">
        <v>409</v>
      </c>
      <c r="D64" s="2" t="s">
        <v>359</v>
      </c>
      <c r="E64" s="2" t="s">
        <v>410</v>
      </c>
      <c r="F64" s="2" t="s">
        <v>361</v>
      </c>
      <c r="G64" s="2" t="s">
        <v>362</v>
      </c>
      <c r="H64" s="2" t="s">
        <v>89</v>
      </c>
      <c r="J64" s="7" t="s">
        <v>13</v>
      </c>
    </row>
    <row r="65" spans="1:10" x14ac:dyDescent="0.25">
      <c r="A65" s="6" t="s">
        <v>1530</v>
      </c>
      <c r="B65" s="6" t="s">
        <v>10</v>
      </c>
      <c r="C65" s="2" t="s">
        <v>423</v>
      </c>
      <c r="D65" s="2" t="s">
        <v>424</v>
      </c>
      <c r="E65" s="2" t="s">
        <v>425</v>
      </c>
      <c r="F65" s="2" t="s">
        <v>426</v>
      </c>
      <c r="G65" s="2" t="s">
        <v>427</v>
      </c>
      <c r="H65" s="2" t="s">
        <v>89</v>
      </c>
      <c r="J65" s="7" t="s">
        <v>13</v>
      </c>
    </row>
    <row r="66" spans="1:10" x14ac:dyDescent="0.25">
      <c r="A66" s="6" t="s">
        <v>1530</v>
      </c>
      <c r="B66" s="6" t="s">
        <v>12</v>
      </c>
      <c r="C66" s="2" t="s">
        <v>428</v>
      </c>
      <c r="D66" s="2" t="s">
        <v>429</v>
      </c>
      <c r="E66" s="2" t="s">
        <v>430</v>
      </c>
      <c r="F66" s="2" t="s">
        <v>431</v>
      </c>
      <c r="G66" s="2" t="s">
        <v>432</v>
      </c>
      <c r="H66" s="2" t="s">
        <v>89</v>
      </c>
      <c r="J66" s="7" t="s">
        <v>17</v>
      </c>
    </row>
    <row r="67" spans="1:10" x14ac:dyDescent="0.25">
      <c r="A67" s="6" t="s">
        <v>1530</v>
      </c>
      <c r="B67" s="6" t="s">
        <v>14</v>
      </c>
      <c r="C67" s="2" t="s">
        <v>433</v>
      </c>
      <c r="D67" s="2" t="s">
        <v>434</v>
      </c>
      <c r="E67" s="2" t="s">
        <v>435</v>
      </c>
      <c r="F67" s="2" t="s">
        <v>436</v>
      </c>
      <c r="G67" s="2" t="s">
        <v>437</v>
      </c>
      <c r="H67" s="2" t="s">
        <v>89</v>
      </c>
      <c r="J67" s="7" t="s">
        <v>20</v>
      </c>
    </row>
    <row r="68" spans="1:10" x14ac:dyDescent="0.25">
      <c r="A68" s="6" t="s">
        <v>1530</v>
      </c>
      <c r="B68" s="6" t="s">
        <v>15</v>
      </c>
      <c r="C68" s="2" t="s">
        <v>438</v>
      </c>
      <c r="D68" s="2" t="s">
        <v>439</v>
      </c>
      <c r="E68" s="2" t="s">
        <v>440</v>
      </c>
      <c r="F68" s="2" t="s">
        <v>441</v>
      </c>
      <c r="G68" s="2" t="s">
        <v>442</v>
      </c>
      <c r="H68" s="2" t="s">
        <v>89</v>
      </c>
      <c r="J68" s="7" t="s">
        <v>11</v>
      </c>
    </row>
    <row r="69" spans="1:10" x14ac:dyDescent="0.25">
      <c r="A69" s="6" t="s">
        <v>1530</v>
      </c>
      <c r="B69" s="6" t="s">
        <v>16</v>
      </c>
      <c r="C69" s="2" t="s">
        <v>443</v>
      </c>
      <c r="D69" s="2" t="s">
        <v>444</v>
      </c>
      <c r="E69" s="2" t="s">
        <v>445</v>
      </c>
      <c r="F69" s="2" t="s">
        <v>446</v>
      </c>
      <c r="G69" s="2" t="s">
        <v>447</v>
      </c>
      <c r="H69" s="2" t="s">
        <v>89</v>
      </c>
      <c r="J69" s="7" t="s">
        <v>17</v>
      </c>
    </row>
    <row r="70" spans="1:10" x14ac:dyDescent="0.25">
      <c r="A70" s="6" t="s">
        <v>1530</v>
      </c>
      <c r="B70" s="6" t="s">
        <v>18</v>
      </c>
      <c r="C70" s="2" t="s">
        <v>448</v>
      </c>
      <c r="D70" s="2" t="s">
        <v>449</v>
      </c>
      <c r="E70" s="2" t="s">
        <v>450</v>
      </c>
      <c r="F70" s="2" t="s">
        <v>451</v>
      </c>
      <c r="G70" s="2" t="s">
        <v>452</v>
      </c>
      <c r="H70" s="2" t="s">
        <v>89</v>
      </c>
      <c r="J70" s="7" t="s">
        <v>20</v>
      </c>
    </row>
    <row r="71" spans="1:10" x14ac:dyDescent="0.25">
      <c r="A71" s="6" t="s">
        <v>1530</v>
      </c>
      <c r="B71" s="6" t="s">
        <v>19</v>
      </c>
      <c r="C71" s="2" t="s">
        <v>453</v>
      </c>
      <c r="D71" s="2" t="s">
        <v>454</v>
      </c>
      <c r="E71" s="2" t="s">
        <v>455</v>
      </c>
      <c r="F71" s="2" t="s">
        <v>456</v>
      </c>
      <c r="G71" s="2" t="s">
        <v>457</v>
      </c>
      <c r="H71" s="2" t="s">
        <v>89</v>
      </c>
      <c r="J71" s="7" t="s">
        <v>20</v>
      </c>
    </row>
    <row r="72" spans="1:10" x14ac:dyDescent="0.25">
      <c r="A72" s="6" t="s">
        <v>1530</v>
      </c>
      <c r="B72" s="6" t="s">
        <v>21</v>
      </c>
      <c r="C72" s="2" t="s">
        <v>458</v>
      </c>
      <c r="D72" s="2" t="s">
        <v>459</v>
      </c>
      <c r="E72" s="2" t="s">
        <v>460</v>
      </c>
      <c r="F72" s="2" t="s">
        <v>461</v>
      </c>
      <c r="G72" s="2" t="s">
        <v>462</v>
      </c>
      <c r="H72" s="2" t="s">
        <v>89</v>
      </c>
      <c r="J72" s="7" t="s">
        <v>13</v>
      </c>
    </row>
    <row r="73" spans="1:10" x14ac:dyDescent="0.25">
      <c r="A73" s="6" t="s">
        <v>1530</v>
      </c>
      <c r="B73" s="6" t="s">
        <v>23</v>
      </c>
      <c r="C73" s="2" t="s">
        <v>463</v>
      </c>
      <c r="D73" s="2" t="s">
        <v>464</v>
      </c>
      <c r="E73" s="2" t="s">
        <v>465</v>
      </c>
      <c r="F73" s="2" t="s">
        <v>466</v>
      </c>
      <c r="G73" s="2" t="s">
        <v>467</v>
      </c>
      <c r="H73" s="2" t="s">
        <v>89</v>
      </c>
      <c r="J73" s="7" t="s">
        <v>11</v>
      </c>
    </row>
    <row r="74" spans="1:10" x14ac:dyDescent="0.25">
      <c r="A74" s="6" t="s">
        <v>1530</v>
      </c>
      <c r="B74" s="6" t="s">
        <v>24</v>
      </c>
      <c r="C74" s="2" t="s">
        <v>468</v>
      </c>
      <c r="D74" s="2" t="s">
        <v>469</v>
      </c>
      <c r="E74" s="2" t="s">
        <v>470</v>
      </c>
      <c r="F74" s="2" t="s">
        <v>471</v>
      </c>
      <c r="G74" s="2" t="s">
        <v>472</v>
      </c>
      <c r="H74" s="2" t="s">
        <v>89</v>
      </c>
      <c r="J74" s="7" t="s">
        <v>20</v>
      </c>
    </row>
    <row r="75" spans="1:10" x14ac:dyDescent="0.25">
      <c r="A75" s="6" t="s">
        <v>1530</v>
      </c>
      <c r="B75" s="6" t="s">
        <v>25</v>
      </c>
      <c r="C75" s="2" t="s">
        <v>473</v>
      </c>
      <c r="D75" s="2" t="s">
        <v>474</v>
      </c>
      <c r="E75" s="2" t="s">
        <v>475</v>
      </c>
      <c r="F75" s="2" t="s">
        <v>476</v>
      </c>
      <c r="G75" s="2" t="s">
        <v>477</v>
      </c>
      <c r="H75" s="2" t="s">
        <v>89</v>
      </c>
      <c r="J75" s="7" t="s">
        <v>13</v>
      </c>
    </row>
    <row r="76" spans="1:10" x14ac:dyDescent="0.25">
      <c r="A76" s="6" t="s">
        <v>1530</v>
      </c>
      <c r="B76" s="6" t="s">
        <v>26</v>
      </c>
      <c r="C76" s="2" t="s">
        <v>478</v>
      </c>
      <c r="D76" s="2" t="s">
        <v>479</v>
      </c>
      <c r="E76" s="2" t="s">
        <v>480</v>
      </c>
      <c r="F76" s="2" t="s">
        <v>481</v>
      </c>
      <c r="G76" s="2" t="s">
        <v>482</v>
      </c>
      <c r="H76" s="2" t="s">
        <v>89</v>
      </c>
      <c r="J76" s="7" t="s">
        <v>11</v>
      </c>
    </row>
    <row r="77" spans="1:10" x14ac:dyDescent="0.25">
      <c r="A77" s="6" t="s">
        <v>1531</v>
      </c>
      <c r="B77" s="20" t="s">
        <v>10</v>
      </c>
      <c r="C77" s="2" t="s">
        <v>523</v>
      </c>
      <c r="D77" s="2" t="s">
        <v>524</v>
      </c>
      <c r="E77" s="2" t="s">
        <v>525</v>
      </c>
      <c r="F77" s="2" t="s">
        <v>526</v>
      </c>
      <c r="G77" s="2" t="s">
        <v>527</v>
      </c>
      <c r="J77" s="7" t="s">
        <v>20</v>
      </c>
    </row>
    <row r="78" spans="1:10" x14ac:dyDescent="0.25">
      <c r="A78" s="6" t="s">
        <v>1531</v>
      </c>
      <c r="B78" s="6" t="s">
        <v>12</v>
      </c>
      <c r="C78" s="2" t="s">
        <v>528</v>
      </c>
      <c r="D78" s="2" t="s">
        <v>529</v>
      </c>
      <c r="E78" s="2" t="s">
        <v>530</v>
      </c>
      <c r="F78" s="2" t="s">
        <v>531</v>
      </c>
      <c r="G78" s="2" t="s">
        <v>532</v>
      </c>
      <c r="J78" s="7" t="s">
        <v>20</v>
      </c>
    </row>
    <row r="79" spans="1:10" x14ac:dyDescent="0.25">
      <c r="A79" s="6" t="s">
        <v>1531</v>
      </c>
      <c r="B79" s="6" t="s">
        <v>14</v>
      </c>
      <c r="C79" s="2" t="s">
        <v>533</v>
      </c>
      <c r="D79" s="2" t="s">
        <v>534</v>
      </c>
      <c r="E79" s="2" t="s">
        <v>535</v>
      </c>
      <c r="F79" s="2" t="s">
        <v>536</v>
      </c>
      <c r="G79" s="2" t="s">
        <v>537</v>
      </c>
      <c r="H79" s="2" t="s">
        <v>89</v>
      </c>
      <c r="J79" s="7" t="s">
        <v>13</v>
      </c>
    </row>
    <row r="80" spans="1:10" x14ac:dyDescent="0.25">
      <c r="A80" s="6" t="s">
        <v>1531</v>
      </c>
      <c r="B80" s="6" t="s">
        <v>15</v>
      </c>
      <c r="C80" s="2" t="s">
        <v>538</v>
      </c>
      <c r="D80" s="2" t="s">
        <v>539</v>
      </c>
      <c r="E80" s="2" t="s">
        <v>540</v>
      </c>
      <c r="F80" s="2" t="s">
        <v>541</v>
      </c>
      <c r="G80" s="2" t="s">
        <v>542</v>
      </c>
      <c r="H80" s="2" t="s">
        <v>89</v>
      </c>
      <c r="J80" s="7" t="s">
        <v>11</v>
      </c>
    </row>
    <row r="81" spans="1:10" x14ac:dyDescent="0.25">
      <c r="A81" s="6" t="s">
        <v>1531</v>
      </c>
      <c r="B81" s="6" t="s">
        <v>16</v>
      </c>
      <c r="C81" s="2" t="s">
        <v>543</v>
      </c>
      <c r="D81" s="2" t="s">
        <v>544</v>
      </c>
      <c r="E81" s="2" t="s">
        <v>545</v>
      </c>
      <c r="F81" s="2" t="s">
        <v>546</v>
      </c>
      <c r="G81" s="2" t="s">
        <v>547</v>
      </c>
      <c r="H81" s="2" t="s">
        <v>532</v>
      </c>
      <c r="J81" s="7" t="s">
        <v>17</v>
      </c>
    </row>
    <row r="82" spans="1:10" x14ac:dyDescent="0.25">
      <c r="A82" s="6" t="s">
        <v>1531</v>
      </c>
      <c r="B82" s="20" t="s">
        <v>18</v>
      </c>
      <c r="C82" s="2" t="s">
        <v>548</v>
      </c>
      <c r="D82" s="2" t="s">
        <v>549</v>
      </c>
      <c r="E82" s="2" t="s">
        <v>550</v>
      </c>
      <c r="F82" s="2" t="s">
        <v>551</v>
      </c>
      <c r="G82" s="2" t="s">
        <v>552</v>
      </c>
      <c r="H82" s="2" t="s">
        <v>89</v>
      </c>
      <c r="J82" s="7" t="s">
        <v>17</v>
      </c>
    </row>
    <row r="83" spans="1:10" x14ac:dyDescent="0.25">
      <c r="A83" s="6" t="s">
        <v>1531</v>
      </c>
      <c r="B83" s="6" t="s">
        <v>19</v>
      </c>
      <c r="C83" s="2" t="s">
        <v>553</v>
      </c>
      <c r="D83" s="2" t="s">
        <v>554</v>
      </c>
      <c r="E83" s="2" t="s">
        <v>555</v>
      </c>
      <c r="F83" s="2" t="s">
        <v>556</v>
      </c>
      <c r="G83" s="2" t="s">
        <v>557</v>
      </c>
      <c r="H83" s="2" t="s">
        <v>89</v>
      </c>
      <c r="J83" s="7" t="s">
        <v>13</v>
      </c>
    </row>
    <row r="84" spans="1:10" x14ac:dyDescent="0.25">
      <c r="A84" s="6" t="s">
        <v>1531</v>
      </c>
      <c r="B84" s="6" t="s">
        <v>21</v>
      </c>
      <c r="C84" s="2" t="s">
        <v>558</v>
      </c>
      <c r="D84" s="2" t="s">
        <v>559</v>
      </c>
      <c r="E84" s="2" t="s">
        <v>560</v>
      </c>
      <c r="F84" s="2" t="s">
        <v>561</v>
      </c>
      <c r="G84" s="2" t="s">
        <v>562</v>
      </c>
      <c r="H84" s="2" t="s">
        <v>532</v>
      </c>
      <c r="J84" s="7" t="s">
        <v>17</v>
      </c>
    </row>
    <row r="85" spans="1:10" x14ac:dyDescent="0.25">
      <c r="A85" s="6" t="s">
        <v>1531</v>
      </c>
      <c r="B85" s="6" t="s">
        <v>23</v>
      </c>
      <c r="C85" s="2" t="s">
        <v>774</v>
      </c>
      <c r="D85" s="2" t="s">
        <v>563</v>
      </c>
      <c r="E85" s="2" t="s">
        <v>564</v>
      </c>
      <c r="F85" s="2" t="s">
        <v>565</v>
      </c>
      <c r="G85" s="2" t="s">
        <v>566</v>
      </c>
      <c r="H85" s="2" t="s">
        <v>532</v>
      </c>
      <c r="J85" s="7" t="s">
        <v>20</v>
      </c>
    </row>
    <row r="86" spans="1:10" x14ac:dyDescent="0.25">
      <c r="A86" s="6" t="s">
        <v>1531</v>
      </c>
      <c r="B86" s="6" t="s">
        <v>24</v>
      </c>
      <c r="C86" s="2" t="s">
        <v>567</v>
      </c>
      <c r="D86" s="2" t="s">
        <v>568</v>
      </c>
      <c r="E86" s="2" t="s">
        <v>569</v>
      </c>
      <c r="F86" s="2" t="s">
        <v>570</v>
      </c>
      <c r="G86" s="2" t="s">
        <v>571</v>
      </c>
      <c r="H86" s="2" t="s">
        <v>532</v>
      </c>
      <c r="J86" s="7" t="s">
        <v>17</v>
      </c>
    </row>
    <row r="87" spans="1:10" x14ac:dyDescent="0.25">
      <c r="A87" s="6" t="s">
        <v>1531</v>
      </c>
      <c r="B87" s="6" t="s">
        <v>25</v>
      </c>
      <c r="C87" s="2" t="s">
        <v>572</v>
      </c>
      <c r="D87" s="2" t="s">
        <v>573</v>
      </c>
      <c r="E87" s="2" t="s">
        <v>574</v>
      </c>
      <c r="F87" s="2" t="s">
        <v>575</v>
      </c>
      <c r="G87" s="2" t="s">
        <v>576</v>
      </c>
      <c r="H87" s="2" t="s">
        <v>532</v>
      </c>
      <c r="J87" s="7" t="s">
        <v>17</v>
      </c>
    </row>
    <row r="88" spans="1:10" x14ac:dyDescent="0.25">
      <c r="A88" s="6" t="s">
        <v>1531</v>
      </c>
      <c r="B88" s="6" t="s">
        <v>26</v>
      </c>
      <c r="C88" s="2" t="s">
        <v>577</v>
      </c>
      <c r="D88" s="2" t="s">
        <v>578</v>
      </c>
      <c r="E88" s="2" t="s">
        <v>579</v>
      </c>
      <c r="F88" s="2" t="s">
        <v>580</v>
      </c>
      <c r="G88" s="2" t="s">
        <v>581</v>
      </c>
      <c r="H88" s="2" t="s">
        <v>532</v>
      </c>
      <c r="J88" s="7" t="s">
        <v>20</v>
      </c>
    </row>
    <row r="89" spans="1:10" x14ac:dyDescent="0.25">
      <c r="A89" s="6" t="s">
        <v>1531</v>
      </c>
      <c r="B89" s="6" t="s">
        <v>27</v>
      </c>
      <c r="C89" s="2" t="s">
        <v>582</v>
      </c>
      <c r="D89" s="2" t="s">
        <v>583</v>
      </c>
      <c r="E89" s="2" t="s">
        <v>584</v>
      </c>
      <c r="F89" s="2" t="s">
        <v>585</v>
      </c>
      <c r="G89" s="2" t="s">
        <v>586</v>
      </c>
      <c r="H89" s="2" t="s">
        <v>89</v>
      </c>
      <c r="J89" s="7" t="s">
        <v>20</v>
      </c>
    </row>
    <row r="90" spans="1:10" x14ac:dyDescent="0.25">
      <c r="A90" s="6" t="s">
        <v>1531</v>
      </c>
      <c r="B90" s="6" t="s">
        <v>28</v>
      </c>
      <c r="C90" s="2" t="s">
        <v>587</v>
      </c>
      <c r="D90" s="2" t="s">
        <v>588</v>
      </c>
      <c r="E90" s="2" t="s">
        <v>589</v>
      </c>
      <c r="F90" s="2" t="s">
        <v>590</v>
      </c>
      <c r="G90" s="2" t="s">
        <v>591</v>
      </c>
      <c r="H90" s="2" t="s">
        <v>89</v>
      </c>
      <c r="J90" s="7" t="s">
        <v>17</v>
      </c>
    </row>
    <row r="91" spans="1:10" x14ac:dyDescent="0.25">
      <c r="A91" s="6" t="s">
        <v>1531</v>
      </c>
      <c r="B91" s="6" t="s">
        <v>29</v>
      </c>
      <c r="C91" s="2" t="s">
        <v>592</v>
      </c>
      <c r="D91" s="2" t="s">
        <v>13</v>
      </c>
      <c r="E91" s="2" t="s">
        <v>20</v>
      </c>
      <c r="F91" s="2" t="s">
        <v>17</v>
      </c>
      <c r="G91" s="2" t="s">
        <v>89</v>
      </c>
      <c r="H91" s="2" t="s">
        <v>22</v>
      </c>
      <c r="J91" s="7" t="s">
        <v>11</v>
      </c>
    </row>
    <row r="92" spans="1:10" x14ac:dyDescent="0.25">
      <c r="A92" s="6" t="s">
        <v>1531</v>
      </c>
      <c r="B92" s="6" t="s">
        <v>30</v>
      </c>
      <c r="C92" s="2" t="s">
        <v>593</v>
      </c>
      <c r="D92" s="2" t="s">
        <v>594</v>
      </c>
      <c r="E92" s="2" t="s">
        <v>595</v>
      </c>
      <c r="F92" s="2" t="s">
        <v>596</v>
      </c>
      <c r="G92" s="2" t="s">
        <v>597</v>
      </c>
      <c r="H92" s="2" t="s">
        <v>89</v>
      </c>
      <c r="J92" s="7" t="s">
        <v>13</v>
      </c>
    </row>
    <row r="93" spans="1:10" x14ac:dyDescent="0.25">
      <c r="A93" s="6" t="s">
        <v>1531</v>
      </c>
      <c r="B93" s="6" t="s">
        <v>31</v>
      </c>
      <c r="C93" s="2" t="s">
        <v>598</v>
      </c>
      <c r="D93" s="2" t="s">
        <v>599</v>
      </c>
      <c r="E93" s="2" t="s">
        <v>600</v>
      </c>
      <c r="F93" s="2" t="s">
        <v>601</v>
      </c>
      <c r="G93" s="2" t="s">
        <v>602</v>
      </c>
      <c r="H93" s="2" t="s">
        <v>89</v>
      </c>
      <c r="J93" s="7" t="s">
        <v>17</v>
      </c>
    </row>
    <row r="94" spans="1:10" x14ac:dyDescent="0.25">
      <c r="A94" s="6" t="s">
        <v>1531</v>
      </c>
      <c r="B94" s="6" t="s">
        <v>32</v>
      </c>
      <c r="C94" s="2" t="s">
        <v>603</v>
      </c>
      <c r="D94" s="2" t="s">
        <v>424</v>
      </c>
      <c r="E94" s="2" t="s">
        <v>604</v>
      </c>
      <c r="F94" s="2" t="s">
        <v>425</v>
      </c>
      <c r="G94" s="2" t="s">
        <v>605</v>
      </c>
      <c r="H94" s="2" t="s">
        <v>89</v>
      </c>
      <c r="J94" s="7" t="s">
        <v>13</v>
      </c>
    </row>
    <row r="95" spans="1:10" x14ac:dyDescent="0.25">
      <c r="A95" s="6" t="s">
        <v>1531</v>
      </c>
      <c r="B95" s="6" t="s">
        <v>33</v>
      </c>
      <c r="C95" s="2" t="s">
        <v>606</v>
      </c>
      <c r="D95" s="2" t="s">
        <v>607</v>
      </c>
      <c r="E95" s="2" t="s">
        <v>608</v>
      </c>
      <c r="F95" s="2" t="s">
        <v>609</v>
      </c>
      <c r="G95" s="2" t="s">
        <v>610</v>
      </c>
      <c r="H95" s="2" t="s">
        <v>532</v>
      </c>
      <c r="J95" s="7" t="s">
        <v>17</v>
      </c>
    </row>
    <row r="96" spans="1:10" x14ac:dyDescent="0.25">
      <c r="A96" s="6" t="s">
        <v>1531</v>
      </c>
      <c r="B96" s="6" t="s">
        <v>34</v>
      </c>
      <c r="C96" s="2" t="s">
        <v>611</v>
      </c>
      <c r="D96" s="2" t="s">
        <v>612</v>
      </c>
      <c r="E96" s="2" t="s">
        <v>613</v>
      </c>
      <c r="F96" s="2" t="s">
        <v>614</v>
      </c>
      <c r="G96" s="2" t="s">
        <v>615</v>
      </c>
      <c r="H96" s="2" t="s">
        <v>532</v>
      </c>
      <c r="J96" s="7" t="s">
        <v>17</v>
      </c>
    </row>
    <row r="97" spans="1:10" x14ac:dyDescent="0.25">
      <c r="A97" s="6" t="s">
        <v>1531</v>
      </c>
      <c r="B97" s="6" t="s">
        <v>35</v>
      </c>
      <c r="C97" s="2" t="s">
        <v>616</v>
      </c>
      <c r="D97" s="2" t="s">
        <v>617</v>
      </c>
      <c r="E97" s="2" t="s">
        <v>618</v>
      </c>
      <c r="F97" s="2" t="s">
        <v>619</v>
      </c>
      <c r="G97" s="2" t="s">
        <v>620</v>
      </c>
      <c r="H97" s="2" t="s">
        <v>89</v>
      </c>
      <c r="J97" s="7" t="s">
        <v>17</v>
      </c>
    </row>
    <row r="98" spans="1:10" x14ac:dyDescent="0.25">
      <c r="A98" s="6" t="s">
        <v>1531</v>
      </c>
      <c r="B98" s="6" t="s">
        <v>36</v>
      </c>
      <c r="C98" s="2" t="s">
        <v>621</v>
      </c>
      <c r="D98" s="2" t="s">
        <v>622</v>
      </c>
      <c r="E98" s="2" t="s">
        <v>623</v>
      </c>
      <c r="F98" s="2" t="s">
        <v>624</v>
      </c>
      <c r="G98" s="2" t="s">
        <v>625</v>
      </c>
      <c r="H98" s="2" t="s">
        <v>89</v>
      </c>
      <c r="J98" s="7" t="s">
        <v>13</v>
      </c>
    </row>
    <row r="99" spans="1:10" x14ac:dyDescent="0.25">
      <c r="A99" s="6" t="s">
        <v>1531</v>
      </c>
      <c r="B99" s="6" t="s">
        <v>37</v>
      </c>
      <c r="C99" s="2" t="s">
        <v>626</v>
      </c>
      <c r="D99" s="2" t="s">
        <v>627</v>
      </c>
      <c r="E99" s="2" t="s">
        <v>628</v>
      </c>
      <c r="F99" s="2" t="s">
        <v>629</v>
      </c>
      <c r="G99" s="2" t="s">
        <v>630</v>
      </c>
      <c r="H99" s="2" t="s">
        <v>89</v>
      </c>
      <c r="J99" s="7" t="s">
        <v>20</v>
      </c>
    </row>
    <row r="100" spans="1:10" x14ac:dyDescent="0.25">
      <c r="A100" s="6" t="s">
        <v>1531</v>
      </c>
      <c r="B100" s="6" t="s">
        <v>38</v>
      </c>
      <c r="C100" s="2" t="s">
        <v>631</v>
      </c>
      <c r="D100" s="2" t="s">
        <v>632</v>
      </c>
      <c r="E100" s="2" t="s">
        <v>633</v>
      </c>
      <c r="F100" s="2" t="s">
        <v>634</v>
      </c>
      <c r="G100" s="2" t="s">
        <v>635</v>
      </c>
      <c r="H100" s="2" t="s">
        <v>89</v>
      </c>
      <c r="J100" s="7" t="s">
        <v>17</v>
      </c>
    </row>
    <row r="101" spans="1:10" x14ac:dyDescent="0.25">
      <c r="A101" s="6" t="s">
        <v>1531</v>
      </c>
      <c r="B101" s="6" t="s">
        <v>39</v>
      </c>
      <c r="C101" s="2" t="s">
        <v>636</v>
      </c>
      <c r="D101" s="2" t="s">
        <v>424</v>
      </c>
      <c r="E101" s="2" t="s">
        <v>637</v>
      </c>
      <c r="F101" s="2" t="s">
        <v>638</v>
      </c>
      <c r="G101" s="2" t="s">
        <v>639</v>
      </c>
      <c r="H101" s="2" t="s">
        <v>89</v>
      </c>
      <c r="J101" s="7" t="s">
        <v>17</v>
      </c>
    </row>
    <row r="102" spans="1:10" x14ac:dyDescent="0.25">
      <c r="A102" s="6" t="s">
        <v>1532</v>
      </c>
      <c r="B102" s="6" t="s">
        <v>40</v>
      </c>
      <c r="C102" s="2" t="s">
        <v>640</v>
      </c>
      <c r="D102" s="2" t="s">
        <v>641</v>
      </c>
      <c r="E102" s="2" t="s">
        <v>642</v>
      </c>
      <c r="F102" s="2" t="s">
        <v>643</v>
      </c>
      <c r="G102" s="2" t="s">
        <v>644</v>
      </c>
      <c r="H102" s="2" t="s">
        <v>89</v>
      </c>
      <c r="J102" s="7" t="s">
        <v>11</v>
      </c>
    </row>
    <row r="103" spans="1:10" x14ac:dyDescent="0.25">
      <c r="A103" s="6" t="s">
        <v>1532</v>
      </c>
      <c r="B103" s="6" t="s">
        <v>41</v>
      </c>
      <c r="C103" s="2" t="s">
        <v>645</v>
      </c>
      <c r="D103" s="2" t="s">
        <v>646</v>
      </c>
      <c r="E103" s="2" t="s">
        <v>647</v>
      </c>
      <c r="F103" s="2" t="s">
        <v>648</v>
      </c>
      <c r="G103" s="2" t="s">
        <v>649</v>
      </c>
      <c r="H103" s="2" t="s">
        <v>89</v>
      </c>
      <c r="J103" s="7" t="s">
        <v>20</v>
      </c>
    </row>
    <row r="104" spans="1:10" x14ac:dyDescent="0.25">
      <c r="A104" s="6" t="s">
        <v>1532</v>
      </c>
      <c r="B104" s="6" t="s">
        <v>42</v>
      </c>
      <c r="C104" s="2" t="s">
        <v>650</v>
      </c>
      <c r="D104" s="2" t="s">
        <v>651</v>
      </c>
      <c r="E104" s="2" t="s">
        <v>652</v>
      </c>
      <c r="F104" s="2" t="s">
        <v>653</v>
      </c>
      <c r="G104" s="2" t="s">
        <v>654</v>
      </c>
      <c r="H104" s="2" t="s">
        <v>89</v>
      </c>
      <c r="J104" s="7" t="s">
        <v>11</v>
      </c>
    </row>
    <row r="105" spans="1:10" x14ac:dyDescent="0.25">
      <c r="A105" s="6" t="s">
        <v>1532</v>
      </c>
      <c r="B105" s="6" t="s">
        <v>43</v>
      </c>
      <c r="C105" s="2" t="s">
        <v>655</v>
      </c>
      <c r="D105" s="2" t="s">
        <v>618</v>
      </c>
      <c r="E105" s="2" t="s">
        <v>619</v>
      </c>
      <c r="F105" s="2" t="s">
        <v>656</v>
      </c>
      <c r="G105" s="2" t="s">
        <v>657</v>
      </c>
      <c r="H105" s="2" t="s">
        <v>89</v>
      </c>
      <c r="J105" s="7" t="s">
        <v>17</v>
      </c>
    </row>
    <row r="106" spans="1:10" x14ac:dyDescent="0.25">
      <c r="A106" s="6" t="s">
        <v>1532</v>
      </c>
      <c r="B106" s="6" t="s">
        <v>44</v>
      </c>
      <c r="C106" s="2" t="s">
        <v>658</v>
      </c>
      <c r="D106" s="2" t="s">
        <v>549</v>
      </c>
      <c r="E106" s="2" t="s">
        <v>550</v>
      </c>
      <c r="F106" s="2" t="s">
        <v>551</v>
      </c>
      <c r="G106" s="2" t="s">
        <v>552</v>
      </c>
      <c r="H106" s="2" t="s">
        <v>89</v>
      </c>
      <c r="J106" s="7" t="s">
        <v>20</v>
      </c>
    </row>
    <row r="107" spans="1:10" x14ac:dyDescent="0.25">
      <c r="A107" s="6" t="s">
        <v>1532</v>
      </c>
      <c r="B107" s="6" t="s">
        <v>45</v>
      </c>
      <c r="C107" s="2" t="s">
        <v>659</v>
      </c>
      <c r="D107" s="2" t="s">
        <v>660</v>
      </c>
      <c r="E107" s="2" t="s">
        <v>661</v>
      </c>
      <c r="F107" s="2" t="s">
        <v>662</v>
      </c>
      <c r="G107" s="2" t="s">
        <v>663</v>
      </c>
      <c r="H107" s="2" t="s">
        <v>89</v>
      </c>
      <c r="J107" s="7" t="s">
        <v>17</v>
      </c>
    </row>
    <row r="108" spans="1:10" x14ac:dyDescent="0.25">
      <c r="A108" s="6" t="s">
        <v>1532</v>
      </c>
      <c r="B108" s="15" t="s">
        <v>47</v>
      </c>
      <c r="C108" s="2" t="s">
        <v>664</v>
      </c>
      <c r="D108" s="2" t="s">
        <v>665</v>
      </c>
      <c r="E108" s="2" t="s">
        <v>666</v>
      </c>
      <c r="F108" s="2" t="s">
        <v>667</v>
      </c>
      <c r="G108" s="2" t="s">
        <v>668</v>
      </c>
      <c r="H108" s="2" t="s">
        <v>701</v>
      </c>
      <c r="J108" s="7" t="s">
        <v>22</v>
      </c>
    </row>
    <row r="109" spans="1:10" x14ac:dyDescent="0.25">
      <c r="A109" s="6" t="s">
        <v>1532</v>
      </c>
      <c r="B109" s="6" t="s">
        <v>49</v>
      </c>
      <c r="C109" s="2" t="s">
        <v>669</v>
      </c>
      <c r="D109" s="2" t="s">
        <v>424</v>
      </c>
      <c r="E109" s="2" t="s">
        <v>670</v>
      </c>
      <c r="F109" s="2" t="s">
        <v>638</v>
      </c>
      <c r="G109" s="2" t="s">
        <v>671</v>
      </c>
      <c r="H109" s="2" t="s">
        <v>89</v>
      </c>
      <c r="J109" s="7" t="s">
        <v>13</v>
      </c>
    </row>
    <row r="110" spans="1:10" x14ac:dyDescent="0.25">
      <c r="A110" s="6" t="s">
        <v>1532</v>
      </c>
      <c r="B110" s="6" t="s">
        <v>51</v>
      </c>
      <c r="C110" s="2" t="s">
        <v>672</v>
      </c>
      <c r="D110" s="2" t="s">
        <v>673</v>
      </c>
      <c r="E110" s="2" t="s">
        <v>623</v>
      </c>
      <c r="F110" s="2" t="s">
        <v>624</v>
      </c>
      <c r="G110" s="2" t="s">
        <v>625</v>
      </c>
      <c r="H110" s="2" t="s">
        <v>89</v>
      </c>
      <c r="J110" s="7" t="s">
        <v>13</v>
      </c>
    </row>
    <row r="111" spans="1:10" x14ac:dyDescent="0.25">
      <c r="A111" s="6" t="s">
        <v>1532</v>
      </c>
      <c r="B111" s="6" t="s">
        <v>53</v>
      </c>
      <c r="C111" s="2" t="s">
        <v>674</v>
      </c>
      <c r="D111" s="2" t="s">
        <v>675</v>
      </c>
      <c r="E111" s="2" t="s">
        <v>676</v>
      </c>
      <c r="F111" s="2" t="s">
        <v>677</v>
      </c>
      <c r="G111" s="2" t="s">
        <v>678</v>
      </c>
      <c r="H111" s="2" t="s">
        <v>89</v>
      </c>
      <c r="J111" s="7" t="s">
        <v>17</v>
      </c>
    </row>
    <row r="112" spans="1:10" x14ac:dyDescent="0.25">
      <c r="A112" s="6" t="s">
        <v>1532</v>
      </c>
      <c r="B112" s="6" t="s">
        <v>55</v>
      </c>
      <c r="C112" s="2" t="s">
        <v>679</v>
      </c>
      <c r="D112" s="2" t="s">
        <v>680</v>
      </c>
      <c r="E112" s="2" t="s">
        <v>681</v>
      </c>
      <c r="F112" s="2" t="s">
        <v>682</v>
      </c>
      <c r="G112" s="2" t="s">
        <v>683</v>
      </c>
      <c r="H112" s="2" t="s">
        <v>89</v>
      </c>
      <c r="J112" s="7" t="s">
        <v>11</v>
      </c>
    </row>
    <row r="113" spans="1:10" x14ac:dyDescent="0.25">
      <c r="A113" s="6" t="s">
        <v>1532</v>
      </c>
      <c r="B113" s="6" t="s">
        <v>57</v>
      </c>
      <c r="C113" s="2" t="s">
        <v>684</v>
      </c>
      <c r="D113" s="2" t="s">
        <v>685</v>
      </c>
      <c r="E113" s="2" t="s">
        <v>686</v>
      </c>
      <c r="F113" s="2" t="s">
        <v>687</v>
      </c>
      <c r="G113" s="2" t="s">
        <v>688</v>
      </c>
      <c r="H113" s="2" t="s">
        <v>89</v>
      </c>
      <c r="J113" s="7" t="s">
        <v>20</v>
      </c>
    </row>
    <row r="114" spans="1:10" x14ac:dyDescent="0.25">
      <c r="A114" s="6" t="s">
        <v>1532</v>
      </c>
      <c r="B114" s="6" t="s">
        <v>703</v>
      </c>
      <c r="C114" s="2" t="s">
        <v>689</v>
      </c>
      <c r="D114" s="2" t="s">
        <v>690</v>
      </c>
      <c r="E114" s="2" t="s">
        <v>691</v>
      </c>
      <c r="F114" s="2" t="s">
        <v>692</v>
      </c>
      <c r="G114" s="2" t="s">
        <v>693</v>
      </c>
      <c r="H114" s="2" t="s">
        <v>89</v>
      </c>
      <c r="J114" s="7" t="s">
        <v>20</v>
      </c>
    </row>
    <row r="115" spans="1:10" x14ac:dyDescent="0.25">
      <c r="A115" s="6" t="s">
        <v>1532</v>
      </c>
      <c r="B115" s="6" t="s">
        <v>704</v>
      </c>
      <c r="C115" s="2" t="s">
        <v>694</v>
      </c>
      <c r="D115" s="2" t="s">
        <v>660</v>
      </c>
      <c r="E115" s="2" t="s">
        <v>661</v>
      </c>
      <c r="F115" s="2" t="s">
        <v>695</v>
      </c>
      <c r="G115" s="2" t="s">
        <v>663</v>
      </c>
      <c r="H115" s="2" t="s">
        <v>89</v>
      </c>
      <c r="J115" s="7" t="s">
        <v>17</v>
      </c>
    </row>
    <row r="116" spans="1:10" x14ac:dyDescent="0.25">
      <c r="A116" s="6" t="s">
        <v>1532</v>
      </c>
      <c r="B116" s="6" t="s">
        <v>705</v>
      </c>
      <c r="C116" s="2" t="s">
        <v>696</v>
      </c>
      <c r="D116" s="2" t="s">
        <v>697</v>
      </c>
      <c r="E116" s="2" t="s">
        <v>698</v>
      </c>
      <c r="F116" s="2" t="s">
        <v>699</v>
      </c>
      <c r="G116" s="2" t="s">
        <v>700</v>
      </c>
      <c r="H116" s="2" t="s">
        <v>702</v>
      </c>
      <c r="J116" s="7" t="s">
        <v>17</v>
      </c>
    </row>
    <row r="117" spans="1:10" x14ac:dyDescent="0.25">
      <c r="A117" s="6" t="s">
        <v>1532</v>
      </c>
      <c r="B117" s="6" t="s">
        <v>983</v>
      </c>
      <c r="C117" s="2" t="s">
        <v>945</v>
      </c>
      <c r="D117" s="2" t="s">
        <v>545</v>
      </c>
      <c r="E117" s="2" t="s">
        <v>946</v>
      </c>
      <c r="F117" s="2" t="s">
        <v>547</v>
      </c>
      <c r="G117" s="2" t="s">
        <v>546</v>
      </c>
      <c r="H117" s="2" t="s">
        <v>532</v>
      </c>
      <c r="J117" s="7" t="s">
        <v>11</v>
      </c>
    </row>
    <row r="118" spans="1:10" x14ac:dyDescent="0.25">
      <c r="A118" s="6" t="s">
        <v>1532</v>
      </c>
      <c r="B118" s="6" t="s">
        <v>984</v>
      </c>
      <c r="C118" s="2" t="s">
        <v>947</v>
      </c>
      <c r="D118" s="2" t="s">
        <v>948</v>
      </c>
      <c r="E118" s="2" t="s">
        <v>949</v>
      </c>
      <c r="F118" s="2" t="s">
        <v>950</v>
      </c>
      <c r="G118" s="2" t="s">
        <v>951</v>
      </c>
      <c r="H118" s="2" t="s">
        <v>532</v>
      </c>
      <c r="J118" s="7" t="s">
        <v>11</v>
      </c>
    </row>
    <row r="119" spans="1:10" x14ac:dyDescent="0.25">
      <c r="A119" s="6" t="s">
        <v>1532</v>
      </c>
      <c r="B119" s="6" t="s">
        <v>985</v>
      </c>
      <c r="C119" s="2" t="s">
        <v>952</v>
      </c>
      <c r="D119" s="2" t="s">
        <v>953</v>
      </c>
      <c r="E119" s="2" t="s">
        <v>954</v>
      </c>
      <c r="F119" s="2" t="s">
        <v>955</v>
      </c>
      <c r="G119" s="2" t="s">
        <v>532</v>
      </c>
      <c r="J119" s="7" t="s">
        <v>13</v>
      </c>
    </row>
    <row r="120" spans="1:10" x14ac:dyDescent="0.25">
      <c r="A120" s="6" t="s">
        <v>1532</v>
      </c>
      <c r="B120" s="6" t="s">
        <v>986</v>
      </c>
      <c r="C120" s="2" t="s">
        <v>956</v>
      </c>
      <c r="D120" s="2" t="s">
        <v>957</v>
      </c>
      <c r="E120" s="2" t="s">
        <v>525</v>
      </c>
      <c r="F120" s="2" t="s">
        <v>651</v>
      </c>
      <c r="G120" s="2" t="s">
        <v>532</v>
      </c>
      <c r="J120" s="7" t="s">
        <v>20</v>
      </c>
    </row>
    <row r="121" spans="1:10" x14ac:dyDescent="0.25">
      <c r="A121" s="6" t="s">
        <v>1532</v>
      </c>
      <c r="B121" s="6" t="s">
        <v>987</v>
      </c>
      <c r="C121" s="2" t="s">
        <v>958</v>
      </c>
      <c r="D121" s="2" t="s">
        <v>554</v>
      </c>
      <c r="E121" s="2" t="s">
        <v>555</v>
      </c>
      <c r="F121" s="2" t="s">
        <v>959</v>
      </c>
      <c r="G121" s="2" t="s">
        <v>532</v>
      </c>
      <c r="J121" s="7" t="s">
        <v>13</v>
      </c>
    </row>
    <row r="122" spans="1:10" x14ac:dyDescent="0.25">
      <c r="A122" s="6" t="s">
        <v>1532</v>
      </c>
      <c r="B122" s="6" t="s">
        <v>988</v>
      </c>
      <c r="C122" s="2" t="s">
        <v>960</v>
      </c>
      <c r="D122" s="2" t="s">
        <v>961</v>
      </c>
      <c r="E122" s="2" t="s">
        <v>962</v>
      </c>
      <c r="F122" s="2" t="s">
        <v>963</v>
      </c>
      <c r="G122" s="2" t="s">
        <v>532</v>
      </c>
      <c r="J122" s="7" t="s">
        <v>17</v>
      </c>
    </row>
    <row r="123" spans="1:10" x14ac:dyDescent="0.25">
      <c r="A123" s="6" t="s">
        <v>1532</v>
      </c>
      <c r="B123" s="6" t="s">
        <v>989</v>
      </c>
      <c r="C123" s="2" t="s">
        <v>964</v>
      </c>
      <c r="D123" s="2" t="s">
        <v>965</v>
      </c>
      <c r="E123" s="2" t="s">
        <v>966</v>
      </c>
      <c r="F123" s="2" t="s">
        <v>967</v>
      </c>
      <c r="G123" s="2" t="s">
        <v>968</v>
      </c>
      <c r="H123" s="2" t="s">
        <v>532</v>
      </c>
      <c r="J123" s="7" t="s">
        <v>11</v>
      </c>
    </row>
    <row r="124" spans="1:10" x14ac:dyDescent="0.25">
      <c r="A124" s="6" t="s">
        <v>1532</v>
      </c>
      <c r="B124" s="6" t="s">
        <v>990</v>
      </c>
      <c r="C124" s="2" t="s">
        <v>969</v>
      </c>
      <c r="D124" s="2" t="s">
        <v>970</v>
      </c>
      <c r="E124" s="2" t="s">
        <v>971</v>
      </c>
      <c r="F124" s="2" t="s">
        <v>972</v>
      </c>
      <c r="G124" s="2" t="s">
        <v>973</v>
      </c>
      <c r="H124" s="2" t="s">
        <v>532</v>
      </c>
      <c r="J124" s="7" t="s">
        <v>13</v>
      </c>
    </row>
    <row r="125" spans="1:10" x14ac:dyDescent="0.25">
      <c r="A125" s="6" t="s">
        <v>1532</v>
      </c>
      <c r="B125" s="6" t="s">
        <v>991</v>
      </c>
      <c r="C125" s="2" t="s">
        <v>974</v>
      </c>
      <c r="D125" s="2" t="s">
        <v>975</v>
      </c>
      <c r="E125" s="2" t="s">
        <v>976</v>
      </c>
      <c r="F125" s="2" t="s">
        <v>977</v>
      </c>
      <c r="G125" s="2" t="s">
        <v>532</v>
      </c>
      <c r="J125" s="7" t="s">
        <v>17</v>
      </c>
    </row>
    <row r="126" spans="1:10" x14ac:dyDescent="0.25">
      <c r="A126" s="6" t="s">
        <v>1532</v>
      </c>
      <c r="B126" s="6" t="s">
        <v>992</v>
      </c>
      <c r="C126" s="2" t="s">
        <v>978</v>
      </c>
      <c r="D126" s="2" t="s">
        <v>979</v>
      </c>
      <c r="E126" s="2" t="s">
        <v>980</v>
      </c>
      <c r="F126" s="2" t="s">
        <v>981</v>
      </c>
      <c r="G126" s="2" t="s">
        <v>982</v>
      </c>
      <c r="H126" s="2" t="s">
        <v>532</v>
      </c>
      <c r="J126" s="7" t="s">
        <v>20</v>
      </c>
    </row>
    <row r="127" spans="1:10" x14ac:dyDescent="0.25">
      <c r="A127" s="6" t="s">
        <v>1533</v>
      </c>
      <c r="B127" s="15" t="s">
        <v>10</v>
      </c>
      <c r="C127" s="2" t="s">
        <v>714</v>
      </c>
      <c r="D127" s="2" t="s">
        <v>715</v>
      </c>
      <c r="E127" s="2" t="s">
        <v>716</v>
      </c>
      <c r="F127" s="2" t="s">
        <v>717</v>
      </c>
      <c r="G127" s="2" t="s">
        <v>718</v>
      </c>
      <c r="H127" s="2" t="s">
        <v>89</v>
      </c>
      <c r="J127" s="7" t="s">
        <v>20</v>
      </c>
    </row>
    <row r="128" spans="1:10" x14ac:dyDescent="0.25">
      <c r="A128" s="6" t="s">
        <v>1533</v>
      </c>
      <c r="B128" s="6" t="s">
        <v>12</v>
      </c>
      <c r="C128" s="2" t="s">
        <v>719</v>
      </c>
      <c r="D128" s="2" t="s">
        <v>720</v>
      </c>
      <c r="E128" s="2" t="s">
        <v>721</v>
      </c>
      <c r="F128" s="2" t="s">
        <v>722</v>
      </c>
      <c r="G128" s="2" t="s">
        <v>723</v>
      </c>
      <c r="H128" s="2" t="s">
        <v>89</v>
      </c>
      <c r="J128" s="7" t="s">
        <v>17</v>
      </c>
    </row>
    <row r="129" spans="1:10" x14ac:dyDescent="0.25">
      <c r="A129" s="6" t="s">
        <v>1533</v>
      </c>
      <c r="B129" s="6" t="s">
        <v>14</v>
      </c>
      <c r="C129" s="2" t="s">
        <v>724</v>
      </c>
      <c r="D129" s="2" t="s">
        <v>725</v>
      </c>
      <c r="E129" s="2" t="s">
        <v>726</v>
      </c>
      <c r="F129" s="2" t="s">
        <v>727</v>
      </c>
      <c r="G129" s="2" t="s">
        <v>728</v>
      </c>
      <c r="H129" s="2" t="s">
        <v>89</v>
      </c>
      <c r="J129" s="7" t="s">
        <v>13</v>
      </c>
    </row>
    <row r="130" spans="1:10" x14ac:dyDescent="0.25">
      <c r="A130" s="6" t="s">
        <v>1533</v>
      </c>
      <c r="B130" s="15" t="s">
        <v>15</v>
      </c>
      <c r="C130" s="2" t="s">
        <v>729</v>
      </c>
      <c r="D130" s="2" t="s">
        <v>730</v>
      </c>
      <c r="E130" s="2" t="s">
        <v>731</v>
      </c>
      <c r="F130" s="2" t="s">
        <v>732</v>
      </c>
      <c r="G130" s="2" t="s">
        <v>733</v>
      </c>
      <c r="H130" s="2" t="s">
        <v>89</v>
      </c>
      <c r="J130" s="7" t="s">
        <v>11</v>
      </c>
    </row>
    <row r="131" spans="1:10" x14ac:dyDescent="0.25">
      <c r="A131" s="6" t="s">
        <v>1533</v>
      </c>
      <c r="B131" s="15" t="s">
        <v>16</v>
      </c>
      <c r="C131" s="2" t="s">
        <v>734</v>
      </c>
      <c r="D131" s="2" t="s">
        <v>735</v>
      </c>
      <c r="E131" s="2" t="s">
        <v>736</v>
      </c>
      <c r="F131" s="2" t="s">
        <v>737</v>
      </c>
      <c r="G131" s="2" t="s">
        <v>738</v>
      </c>
      <c r="H131" s="2" t="s">
        <v>89</v>
      </c>
      <c r="J131" s="7" t="s">
        <v>20</v>
      </c>
    </row>
    <row r="132" spans="1:10" x14ac:dyDescent="0.25">
      <c r="A132" s="6" t="s">
        <v>1533</v>
      </c>
      <c r="B132" s="6" t="s">
        <v>18</v>
      </c>
      <c r="C132" s="2" t="s">
        <v>739</v>
      </c>
      <c r="D132" s="2" t="s">
        <v>740</v>
      </c>
      <c r="E132" s="2" t="s">
        <v>741</v>
      </c>
      <c r="F132" s="2" t="s">
        <v>742</v>
      </c>
      <c r="G132" s="2" t="s">
        <v>743</v>
      </c>
      <c r="H132" s="2" t="s">
        <v>89</v>
      </c>
      <c r="J132" s="7" t="s">
        <v>11</v>
      </c>
    </row>
    <row r="133" spans="1:10" x14ac:dyDescent="0.25">
      <c r="A133" s="6" t="s">
        <v>1533</v>
      </c>
      <c r="B133" s="6" t="s">
        <v>19</v>
      </c>
      <c r="C133" s="2" t="s">
        <v>744</v>
      </c>
      <c r="D133" s="2" t="s">
        <v>745</v>
      </c>
      <c r="E133" s="2" t="s">
        <v>746</v>
      </c>
      <c r="F133" s="2" t="s">
        <v>747</v>
      </c>
      <c r="G133" s="2" t="s">
        <v>748</v>
      </c>
      <c r="H133" s="2" t="s">
        <v>89</v>
      </c>
      <c r="J133" s="7" t="s">
        <v>17</v>
      </c>
    </row>
    <row r="134" spans="1:10" x14ac:dyDescent="0.25">
      <c r="A134" s="6" t="s">
        <v>1533</v>
      </c>
      <c r="B134" s="6" t="s">
        <v>21</v>
      </c>
      <c r="C134" s="2" t="s">
        <v>749</v>
      </c>
      <c r="D134" s="2" t="s">
        <v>750</v>
      </c>
      <c r="E134" s="2" t="s">
        <v>751</v>
      </c>
      <c r="F134" s="2" t="s">
        <v>752</v>
      </c>
      <c r="G134" s="2" t="s">
        <v>753</v>
      </c>
      <c r="H134" s="2" t="s">
        <v>89</v>
      </c>
      <c r="J134" s="7" t="s">
        <v>13</v>
      </c>
    </row>
    <row r="135" spans="1:10" x14ac:dyDescent="0.25">
      <c r="A135" s="6" t="s">
        <v>249</v>
      </c>
      <c r="B135" s="15" t="s">
        <v>10</v>
      </c>
      <c r="C135" s="2" t="s">
        <v>775</v>
      </c>
      <c r="D135" s="2" t="s">
        <v>776</v>
      </c>
      <c r="E135" s="2" t="s">
        <v>777</v>
      </c>
      <c r="F135" s="2" t="s">
        <v>778</v>
      </c>
      <c r="G135" s="2" t="s">
        <v>779</v>
      </c>
      <c r="H135" s="2" t="s">
        <v>89</v>
      </c>
      <c r="J135" s="7" t="s">
        <v>20</v>
      </c>
    </row>
    <row r="136" spans="1:10" x14ac:dyDescent="0.25">
      <c r="A136" s="6" t="s">
        <v>249</v>
      </c>
      <c r="B136" s="6" t="s">
        <v>12</v>
      </c>
      <c r="C136" s="2" t="s">
        <v>780</v>
      </c>
      <c r="D136" s="2" t="s">
        <v>781</v>
      </c>
      <c r="E136" s="2" t="s">
        <v>782</v>
      </c>
      <c r="F136" s="2" t="s">
        <v>783</v>
      </c>
      <c r="G136" s="2" t="s">
        <v>784</v>
      </c>
      <c r="H136" s="2" t="s">
        <v>89</v>
      </c>
      <c r="J136" s="7" t="s">
        <v>11</v>
      </c>
    </row>
    <row r="137" spans="1:10" x14ac:dyDescent="0.25">
      <c r="A137" s="6" t="s">
        <v>249</v>
      </c>
      <c r="B137" s="6" t="s">
        <v>14</v>
      </c>
      <c r="C137" s="2" t="s">
        <v>785</v>
      </c>
      <c r="D137" s="2" t="s">
        <v>786</v>
      </c>
      <c r="E137" s="2" t="s">
        <v>787</v>
      </c>
      <c r="F137" s="2" t="s">
        <v>788</v>
      </c>
      <c r="G137" s="2" t="s">
        <v>789</v>
      </c>
      <c r="H137" s="2" t="s">
        <v>89</v>
      </c>
      <c r="J137" s="7" t="s">
        <v>11</v>
      </c>
    </row>
    <row r="138" spans="1:10" x14ac:dyDescent="0.25">
      <c r="A138" s="6" t="s">
        <v>249</v>
      </c>
      <c r="B138" s="6" t="s">
        <v>15</v>
      </c>
      <c r="C138" s="2" t="s">
        <v>790</v>
      </c>
      <c r="D138" s="2" t="s">
        <v>791</v>
      </c>
      <c r="E138" s="2" t="s">
        <v>792</v>
      </c>
      <c r="F138" s="2" t="s">
        <v>793</v>
      </c>
      <c r="G138" s="2" t="s">
        <v>794</v>
      </c>
      <c r="H138" s="2" t="s">
        <v>89</v>
      </c>
      <c r="J138" s="7" t="s">
        <v>13</v>
      </c>
    </row>
    <row r="139" spans="1:10" x14ac:dyDescent="0.25">
      <c r="A139" s="6" t="s">
        <v>249</v>
      </c>
      <c r="B139" s="6" t="s">
        <v>16</v>
      </c>
      <c r="C139" s="2" t="s">
        <v>795</v>
      </c>
      <c r="D139" s="2" t="s">
        <v>796</v>
      </c>
      <c r="E139" s="2" t="s">
        <v>797</v>
      </c>
      <c r="F139" s="2" t="s">
        <v>798</v>
      </c>
      <c r="G139" s="2" t="s">
        <v>799</v>
      </c>
      <c r="H139" s="2" t="s">
        <v>89</v>
      </c>
      <c r="J139" s="7" t="s">
        <v>13</v>
      </c>
    </row>
    <row r="140" spans="1:10" x14ac:dyDescent="0.25">
      <c r="A140" s="6" t="s">
        <v>249</v>
      </c>
      <c r="B140" s="15" t="s">
        <v>18</v>
      </c>
      <c r="C140" s="2" t="s">
        <v>800</v>
      </c>
      <c r="D140" s="2" t="s">
        <v>801</v>
      </c>
      <c r="E140" s="2" t="s">
        <v>802</v>
      </c>
      <c r="F140" s="2" t="s">
        <v>803</v>
      </c>
      <c r="G140" s="2" t="s">
        <v>804</v>
      </c>
      <c r="H140" s="2" t="s">
        <v>89</v>
      </c>
      <c r="J140" s="7" t="s">
        <v>17</v>
      </c>
    </row>
    <row r="141" spans="1:10" x14ac:dyDescent="0.25">
      <c r="A141" s="6" t="s">
        <v>249</v>
      </c>
      <c r="B141" s="15" t="s">
        <v>19</v>
      </c>
      <c r="C141" s="2" t="s">
        <v>805</v>
      </c>
      <c r="D141" s="2" t="s">
        <v>806</v>
      </c>
      <c r="E141" s="2" t="s">
        <v>807</v>
      </c>
      <c r="F141" s="2" t="s">
        <v>808</v>
      </c>
      <c r="G141" s="2" t="s">
        <v>809</v>
      </c>
      <c r="H141" s="2" t="s">
        <v>89</v>
      </c>
      <c r="J141" s="7" t="s">
        <v>17</v>
      </c>
    </row>
    <row r="142" spans="1:10" x14ac:dyDescent="0.25">
      <c r="A142" s="6" t="s">
        <v>249</v>
      </c>
      <c r="B142" s="6" t="s">
        <v>21</v>
      </c>
      <c r="C142" s="2" t="s">
        <v>810</v>
      </c>
      <c r="D142" s="2" t="s">
        <v>811</v>
      </c>
      <c r="E142" s="2" t="s">
        <v>812</v>
      </c>
      <c r="F142" s="2" t="s">
        <v>813</v>
      </c>
      <c r="G142" s="2" t="s">
        <v>814</v>
      </c>
      <c r="H142" s="2" t="s">
        <v>89</v>
      </c>
      <c r="J142" s="7" t="s">
        <v>11</v>
      </c>
    </row>
    <row r="143" spans="1:10" x14ac:dyDescent="0.25">
      <c r="A143" s="6" t="s">
        <v>249</v>
      </c>
      <c r="B143" s="6" t="s">
        <v>23</v>
      </c>
      <c r="C143" s="2" t="s">
        <v>815</v>
      </c>
      <c r="D143" s="2" t="s">
        <v>816</v>
      </c>
      <c r="E143" s="2" t="s">
        <v>817</v>
      </c>
      <c r="F143" s="2" t="s">
        <v>818</v>
      </c>
      <c r="G143" s="2" t="s">
        <v>819</v>
      </c>
      <c r="H143" s="2" t="s">
        <v>89</v>
      </c>
      <c r="J143" s="7" t="s">
        <v>13</v>
      </c>
    </row>
    <row r="144" spans="1:10" x14ac:dyDescent="0.25">
      <c r="A144" s="6" t="s">
        <v>249</v>
      </c>
      <c r="B144" s="6" t="s">
        <v>24</v>
      </c>
      <c r="C144" s="2" t="s">
        <v>820</v>
      </c>
      <c r="D144" s="2" t="s">
        <v>821</v>
      </c>
      <c r="E144" s="2" t="s">
        <v>822</v>
      </c>
      <c r="F144" s="2" t="s">
        <v>823</v>
      </c>
      <c r="G144" s="2" t="s">
        <v>824</v>
      </c>
      <c r="H144" s="2" t="s">
        <v>368</v>
      </c>
      <c r="J144" s="7" t="s">
        <v>22</v>
      </c>
    </row>
    <row r="145" spans="1:10" x14ac:dyDescent="0.25">
      <c r="A145" s="6" t="s">
        <v>249</v>
      </c>
      <c r="B145" s="15" t="s">
        <v>25</v>
      </c>
      <c r="C145" s="2" t="s">
        <v>825</v>
      </c>
      <c r="D145" s="2" t="s">
        <v>826</v>
      </c>
      <c r="E145" s="2" t="s">
        <v>827</v>
      </c>
      <c r="F145" s="2" t="s">
        <v>828</v>
      </c>
      <c r="G145" s="2" t="s">
        <v>829</v>
      </c>
      <c r="H145" s="2" t="s">
        <v>89</v>
      </c>
      <c r="J145" s="7" t="s">
        <v>20</v>
      </c>
    </row>
    <row r="146" spans="1:10" x14ac:dyDescent="0.25">
      <c r="A146" s="6" t="s">
        <v>249</v>
      </c>
      <c r="B146" s="6" t="s">
        <v>26</v>
      </c>
      <c r="C146" s="2" t="s">
        <v>830</v>
      </c>
      <c r="D146" s="2" t="s">
        <v>831</v>
      </c>
      <c r="E146" s="2" t="s">
        <v>832</v>
      </c>
      <c r="F146" s="2" t="s">
        <v>833</v>
      </c>
      <c r="G146" s="2" t="s">
        <v>834</v>
      </c>
      <c r="H146" s="2" t="s">
        <v>368</v>
      </c>
      <c r="J146" s="7" t="s">
        <v>22</v>
      </c>
    </row>
    <row r="147" spans="1:10" x14ac:dyDescent="0.25">
      <c r="A147" s="6" t="s">
        <v>249</v>
      </c>
      <c r="B147" s="6" t="s">
        <v>27</v>
      </c>
      <c r="C147" s="2" t="s">
        <v>835</v>
      </c>
      <c r="D147" s="2" t="s">
        <v>836</v>
      </c>
      <c r="E147" s="2" t="s">
        <v>837</v>
      </c>
      <c r="F147" s="2" t="s">
        <v>838</v>
      </c>
      <c r="G147" s="2" t="s">
        <v>839</v>
      </c>
      <c r="H147" s="2" t="s">
        <v>89</v>
      </c>
      <c r="J147" s="7" t="s">
        <v>20</v>
      </c>
    </row>
    <row r="148" spans="1:10" x14ac:dyDescent="0.25">
      <c r="A148" s="6" t="s">
        <v>249</v>
      </c>
      <c r="B148" s="6" t="s">
        <v>28</v>
      </c>
      <c r="C148" s="2" t="s">
        <v>840</v>
      </c>
      <c r="D148" s="2" t="s">
        <v>841</v>
      </c>
      <c r="E148" s="2" t="s">
        <v>842</v>
      </c>
      <c r="F148" s="2" t="s">
        <v>843</v>
      </c>
      <c r="G148" s="2" t="s">
        <v>844</v>
      </c>
      <c r="H148" s="2" t="s">
        <v>89</v>
      </c>
      <c r="J148" s="7" t="s">
        <v>20</v>
      </c>
    </row>
    <row r="149" spans="1:10" x14ac:dyDescent="0.25">
      <c r="A149" s="6" t="s">
        <v>249</v>
      </c>
      <c r="B149" s="6" t="s">
        <v>29</v>
      </c>
      <c r="C149" s="2" t="s">
        <v>845</v>
      </c>
      <c r="D149" s="2" t="s">
        <v>846</v>
      </c>
      <c r="E149" s="2" t="s">
        <v>847</v>
      </c>
      <c r="F149" s="2" t="s">
        <v>848</v>
      </c>
      <c r="G149" s="2" t="s">
        <v>849</v>
      </c>
      <c r="H149" s="2" t="s">
        <v>89</v>
      </c>
      <c r="J149" s="7" t="s">
        <v>20</v>
      </c>
    </row>
    <row r="150" spans="1:10" x14ac:dyDescent="0.25">
      <c r="A150" s="6" t="s">
        <v>249</v>
      </c>
      <c r="B150" s="6" t="s">
        <v>30</v>
      </c>
      <c r="C150" s="2" t="s">
        <v>850</v>
      </c>
      <c r="D150" s="2" t="s">
        <v>851</v>
      </c>
      <c r="E150" s="2" t="s">
        <v>852</v>
      </c>
      <c r="F150" s="2" t="s">
        <v>853</v>
      </c>
      <c r="G150" s="2" t="s">
        <v>854</v>
      </c>
      <c r="H150" s="2" t="s">
        <v>89</v>
      </c>
      <c r="J150" s="7" t="s">
        <v>17</v>
      </c>
    </row>
    <row r="151" spans="1:10" x14ac:dyDescent="0.25">
      <c r="A151" s="6" t="s">
        <v>249</v>
      </c>
      <c r="B151" s="6" t="s">
        <v>31</v>
      </c>
      <c r="C151" s="2" t="s">
        <v>855</v>
      </c>
      <c r="D151" s="2" t="s">
        <v>856</v>
      </c>
      <c r="E151" s="2" t="s">
        <v>857</v>
      </c>
      <c r="F151" s="2" t="s">
        <v>858</v>
      </c>
      <c r="G151" s="2" t="s">
        <v>859</v>
      </c>
      <c r="H151" s="2" t="s">
        <v>89</v>
      </c>
      <c r="J151" s="7" t="s">
        <v>17</v>
      </c>
    </row>
    <row r="152" spans="1:10" x14ac:dyDescent="0.25">
      <c r="A152" s="6" t="s">
        <v>249</v>
      </c>
      <c r="B152" s="6" t="s">
        <v>32</v>
      </c>
      <c r="C152" s="2" t="s">
        <v>860</v>
      </c>
      <c r="D152" s="2" t="s">
        <v>861</v>
      </c>
      <c r="E152" s="2" t="s">
        <v>862</v>
      </c>
      <c r="F152" s="2" t="s">
        <v>863</v>
      </c>
      <c r="G152" s="2" t="s">
        <v>864</v>
      </c>
      <c r="H152" s="2" t="s">
        <v>89</v>
      </c>
      <c r="J152" s="7" t="s">
        <v>13</v>
      </c>
    </row>
    <row r="153" spans="1:10" x14ac:dyDescent="0.25">
      <c r="A153" s="6" t="s">
        <v>249</v>
      </c>
      <c r="B153" s="6" t="s">
        <v>33</v>
      </c>
      <c r="C153" s="2" t="s">
        <v>865</v>
      </c>
      <c r="D153" s="2" t="s">
        <v>866</v>
      </c>
      <c r="E153" s="2" t="s">
        <v>867</v>
      </c>
      <c r="F153" s="2" t="s">
        <v>868</v>
      </c>
      <c r="G153" s="2" t="s">
        <v>869</v>
      </c>
      <c r="H153" s="2" t="s">
        <v>89</v>
      </c>
      <c r="J153" s="7" t="s">
        <v>11</v>
      </c>
    </row>
    <row r="154" spans="1:10" x14ac:dyDescent="0.25">
      <c r="A154" s="6" t="s">
        <v>249</v>
      </c>
      <c r="B154" s="6" t="s">
        <v>34</v>
      </c>
      <c r="C154" s="2" t="s">
        <v>870</v>
      </c>
      <c r="D154" s="2" t="s">
        <v>871</v>
      </c>
      <c r="E154" s="2" t="s">
        <v>872</v>
      </c>
      <c r="F154" s="2" t="s">
        <v>873</v>
      </c>
      <c r="G154" s="2" t="s">
        <v>874</v>
      </c>
      <c r="H154" s="2" t="s">
        <v>89</v>
      </c>
      <c r="J154" s="7" t="s">
        <v>13</v>
      </c>
    </row>
    <row r="155" spans="1:10" x14ac:dyDescent="0.25">
      <c r="A155" s="6" t="s">
        <v>253</v>
      </c>
      <c r="B155" s="6" t="s">
        <v>10</v>
      </c>
      <c r="C155" s="2" t="s">
        <v>885</v>
      </c>
      <c r="D155" s="2" t="s">
        <v>886</v>
      </c>
      <c r="E155" s="2" t="s">
        <v>887</v>
      </c>
      <c r="F155" s="2" t="s">
        <v>888</v>
      </c>
      <c r="G155" s="2" t="s">
        <v>889</v>
      </c>
      <c r="H155" s="2" t="s">
        <v>89</v>
      </c>
      <c r="J155" s="7" t="s">
        <v>22</v>
      </c>
    </row>
    <row r="156" spans="1:10" x14ac:dyDescent="0.25">
      <c r="A156" s="6" t="s">
        <v>253</v>
      </c>
      <c r="B156" s="6" t="s">
        <v>12</v>
      </c>
      <c r="C156" s="2" t="s">
        <v>890</v>
      </c>
      <c r="D156" s="2" t="s">
        <v>891</v>
      </c>
      <c r="E156" s="2" t="s">
        <v>892</v>
      </c>
      <c r="F156" s="2" t="s">
        <v>893</v>
      </c>
      <c r="G156" s="2" t="s">
        <v>894</v>
      </c>
      <c r="H156" s="2" t="s">
        <v>89</v>
      </c>
      <c r="J156" s="7" t="s">
        <v>20</v>
      </c>
    </row>
    <row r="157" spans="1:10" x14ac:dyDescent="0.25">
      <c r="A157" s="6" t="s">
        <v>253</v>
      </c>
      <c r="B157" s="6" t="s">
        <v>14</v>
      </c>
      <c r="C157" s="2" t="s">
        <v>895</v>
      </c>
      <c r="D157" s="2" t="s">
        <v>896</v>
      </c>
      <c r="E157" s="2" t="s">
        <v>897</v>
      </c>
      <c r="F157" s="2" t="s">
        <v>898</v>
      </c>
      <c r="G157" s="2" t="s">
        <v>899</v>
      </c>
      <c r="H157" s="2" t="s">
        <v>89</v>
      </c>
      <c r="J157" s="7" t="s">
        <v>20</v>
      </c>
    </row>
    <row r="158" spans="1:10" x14ac:dyDescent="0.25">
      <c r="A158" s="6" t="s">
        <v>253</v>
      </c>
      <c r="B158" s="6" t="s">
        <v>15</v>
      </c>
      <c r="C158" s="2" t="s">
        <v>900</v>
      </c>
      <c r="D158" s="2" t="s">
        <v>901</v>
      </c>
      <c r="E158" s="2" t="s">
        <v>902</v>
      </c>
      <c r="F158" s="2" t="s">
        <v>903</v>
      </c>
      <c r="G158" s="2" t="s">
        <v>904</v>
      </c>
      <c r="H158" s="2" t="s">
        <v>89</v>
      </c>
      <c r="J158" s="7" t="s">
        <v>11</v>
      </c>
    </row>
    <row r="159" spans="1:10" x14ac:dyDescent="0.25">
      <c r="A159" s="6" t="s">
        <v>253</v>
      </c>
      <c r="B159" s="6" t="s">
        <v>16</v>
      </c>
      <c r="C159" s="2" t="s">
        <v>905</v>
      </c>
      <c r="D159" s="2" t="s">
        <v>906</v>
      </c>
      <c r="E159" s="2" t="s">
        <v>907</v>
      </c>
      <c r="F159" s="2" t="s">
        <v>908</v>
      </c>
      <c r="G159" s="2" t="s">
        <v>909</v>
      </c>
      <c r="H159" s="2" t="s">
        <v>89</v>
      </c>
      <c r="J159" s="7" t="s">
        <v>17</v>
      </c>
    </row>
    <row r="160" spans="1:10" x14ac:dyDescent="0.25">
      <c r="A160" s="6" t="s">
        <v>253</v>
      </c>
      <c r="B160" s="6" t="s">
        <v>18</v>
      </c>
      <c r="C160" s="2" t="s">
        <v>910</v>
      </c>
      <c r="D160" s="2" t="s">
        <v>911</v>
      </c>
      <c r="E160" s="2" t="s">
        <v>912</v>
      </c>
      <c r="F160" s="2" t="s">
        <v>913</v>
      </c>
      <c r="G160" s="2" t="s">
        <v>914</v>
      </c>
      <c r="H160" s="2" t="s">
        <v>89</v>
      </c>
      <c r="J160" s="7" t="s">
        <v>11</v>
      </c>
    </row>
    <row r="161" spans="1:10" x14ac:dyDescent="0.25">
      <c r="A161" s="6" t="s">
        <v>253</v>
      </c>
      <c r="B161" s="6" t="s">
        <v>19</v>
      </c>
      <c r="C161" s="2" t="s">
        <v>915</v>
      </c>
      <c r="D161" s="2" t="s">
        <v>916</v>
      </c>
      <c r="E161" s="2" t="s">
        <v>917</v>
      </c>
      <c r="F161" s="2" t="s">
        <v>918</v>
      </c>
      <c r="G161" s="2" t="s">
        <v>919</v>
      </c>
      <c r="H161" s="2" t="s">
        <v>89</v>
      </c>
      <c r="J161" s="7" t="s">
        <v>17</v>
      </c>
    </row>
    <row r="162" spans="1:10" x14ac:dyDescent="0.25">
      <c r="A162" s="6" t="s">
        <v>253</v>
      </c>
      <c r="B162" s="6" t="s">
        <v>21</v>
      </c>
      <c r="C162" s="2" t="s">
        <v>920</v>
      </c>
      <c r="D162" s="2" t="s">
        <v>921</v>
      </c>
      <c r="E162" s="2" t="s">
        <v>922</v>
      </c>
      <c r="F162" s="2" t="s">
        <v>923</v>
      </c>
      <c r="G162" s="2" t="s">
        <v>924</v>
      </c>
      <c r="H162" s="2" t="s">
        <v>89</v>
      </c>
      <c r="J162" s="7" t="s">
        <v>13</v>
      </c>
    </row>
    <row r="163" spans="1:10" x14ac:dyDescent="0.25">
      <c r="A163" s="6" t="s">
        <v>253</v>
      </c>
      <c r="B163" s="6" t="s">
        <v>23</v>
      </c>
      <c r="C163" s="2" t="s">
        <v>925</v>
      </c>
      <c r="D163" s="2" t="s">
        <v>926</v>
      </c>
      <c r="E163" s="2" t="s">
        <v>927</v>
      </c>
      <c r="F163" s="2" t="s">
        <v>928</v>
      </c>
      <c r="G163" s="2" t="s">
        <v>929</v>
      </c>
      <c r="H163" s="2" t="s">
        <v>90</v>
      </c>
      <c r="J163" s="7" t="s">
        <v>22</v>
      </c>
    </row>
    <row r="164" spans="1:10" x14ac:dyDescent="0.25">
      <c r="A164" s="6" t="s">
        <v>253</v>
      </c>
      <c r="B164" s="6" t="s">
        <v>24</v>
      </c>
      <c r="C164" s="2" t="s">
        <v>930</v>
      </c>
      <c r="D164" s="2" t="s">
        <v>931</v>
      </c>
      <c r="E164" s="2" t="s">
        <v>932</v>
      </c>
      <c r="F164" s="2" t="s">
        <v>933</v>
      </c>
      <c r="G164" s="2" t="s">
        <v>934</v>
      </c>
      <c r="H164" s="2" t="s">
        <v>89</v>
      </c>
      <c r="J164" s="7" t="s">
        <v>20</v>
      </c>
    </row>
    <row r="165" spans="1:10" x14ac:dyDescent="0.25">
      <c r="A165" s="6" t="s">
        <v>251</v>
      </c>
      <c r="B165" s="6" t="s">
        <v>10</v>
      </c>
      <c r="C165" s="2" t="s">
        <v>1016</v>
      </c>
      <c r="D165" s="2" t="s">
        <v>1017</v>
      </c>
      <c r="E165" s="2" t="s">
        <v>1018</v>
      </c>
      <c r="F165" s="2" t="s">
        <v>1019</v>
      </c>
      <c r="G165" s="2" t="s">
        <v>1020</v>
      </c>
      <c r="H165" s="2" t="s">
        <v>532</v>
      </c>
      <c r="J165" s="7" t="s">
        <v>11</v>
      </c>
    </row>
    <row r="166" spans="1:10" x14ac:dyDescent="0.25">
      <c r="A166" s="6" t="s">
        <v>251</v>
      </c>
      <c r="B166" s="6" t="s">
        <v>12</v>
      </c>
      <c r="C166" s="2" t="s">
        <v>1021</v>
      </c>
      <c r="D166" s="2" t="s">
        <v>1022</v>
      </c>
      <c r="E166" s="2" t="s">
        <v>1023</v>
      </c>
      <c r="F166" s="2" t="s">
        <v>1024</v>
      </c>
      <c r="G166" s="2" t="s">
        <v>532</v>
      </c>
      <c r="J166" s="7" t="s">
        <v>20</v>
      </c>
    </row>
    <row r="167" spans="1:10" x14ac:dyDescent="0.25">
      <c r="A167" s="6" t="s">
        <v>251</v>
      </c>
      <c r="B167" s="6" t="s">
        <v>14</v>
      </c>
      <c r="C167" s="2" t="s">
        <v>1025</v>
      </c>
      <c r="D167" s="2" t="s">
        <v>1026</v>
      </c>
      <c r="E167" s="2" t="s">
        <v>1027</v>
      </c>
      <c r="F167" s="2" t="s">
        <v>1028</v>
      </c>
      <c r="G167" s="2" t="s">
        <v>1029</v>
      </c>
      <c r="H167" s="2" t="s">
        <v>532</v>
      </c>
      <c r="J167" s="7" t="s">
        <v>17</v>
      </c>
    </row>
    <row r="168" spans="1:10" x14ac:dyDescent="0.25">
      <c r="A168" s="6" t="s">
        <v>251</v>
      </c>
      <c r="B168" s="6" t="s">
        <v>15</v>
      </c>
      <c r="C168" s="2" t="s">
        <v>1030</v>
      </c>
      <c r="D168" s="2" t="s">
        <v>1031</v>
      </c>
      <c r="E168" s="2" t="s">
        <v>1032</v>
      </c>
      <c r="F168" s="2" t="s">
        <v>1033</v>
      </c>
      <c r="G168" s="2" t="s">
        <v>532</v>
      </c>
      <c r="J168" s="7" t="s">
        <v>17</v>
      </c>
    </row>
    <row r="169" spans="1:10" x14ac:dyDescent="0.25">
      <c r="A169" s="6" t="s">
        <v>251</v>
      </c>
      <c r="B169" s="6" t="s">
        <v>16</v>
      </c>
      <c r="C169" s="2" t="s">
        <v>1034</v>
      </c>
      <c r="D169" s="2" t="s">
        <v>1035</v>
      </c>
      <c r="E169" s="2" t="s">
        <v>1036</v>
      </c>
      <c r="F169" s="2" t="s">
        <v>1037</v>
      </c>
      <c r="G169" s="2" t="s">
        <v>1038</v>
      </c>
      <c r="H169" s="2" t="s">
        <v>1039</v>
      </c>
      <c r="J169" s="7" t="s">
        <v>20</v>
      </c>
    </row>
    <row r="170" spans="1:10" x14ac:dyDescent="0.25">
      <c r="A170" s="6" t="s">
        <v>251</v>
      </c>
      <c r="B170" s="6" t="s">
        <v>18</v>
      </c>
      <c r="C170" s="2" t="s">
        <v>1040</v>
      </c>
      <c r="D170" s="2" t="s">
        <v>1041</v>
      </c>
      <c r="E170" s="2" t="s">
        <v>1042</v>
      </c>
      <c r="F170" s="2" t="s">
        <v>1043</v>
      </c>
      <c r="G170" s="2" t="s">
        <v>532</v>
      </c>
      <c r="J170" s="7" t="s">
        <v>17</v>
      </c>
    </row>
    <row r="171" spans="1:10" x14ac:dyDescent="0.25">
      <c r="A171" s="6" t="s">
        <v>251</v>
      </c>
      <c r="B171" s="6" t="s">
        <v>19</v>
      </c>
      <c r="C171" s="2" t="s">
        <v>1044</v>
      </c>
      <c r="D171" s="2" t="s">
        <v>1045</v>
      </c>
      <c r="E171" s="2" t="s">
        <v>1046</v>
      </c>
      <c r="F171" s="2" t="s">
        <v>1047</v>
      </c>
      <c r="G171" s="2" t="s">
        <v>1048</v>
      </c>
      <c r="H171" s="2" t="s">
        <v>532</v>
      </c>
      <c r="J171" s="7" t="s">
        <v>13</v>
      </c>
    </row>
    <row r="172" spans="1:10" x14ac:dyDescent="0.25">
      <c r="A172" s="6" t="s">
        <v>251</v>
      </c>
      <c r="B172" s="6" t="s">
        <v>21</v>
      </c>
      <c r="C172" s="2" t="s">
        <v>1049</v>
      </c>
      <c r="D172" s="2" t="s">
        <v>1050</v>
      </c>
      <c r="E172" s="2" t="s">
        <v>1051</v>
      </c>
      <c r="F172" s="2" t="s">
        <v>1052</v>
      </c>
      <c r="G172" s="2" t="s">
        <v>1053</v>
      </c>
      <c r="H172" s="2" t="s">
        <v>1054</v>
      </c>
      <c r="J172" s="7" t="s">
        <v>13</v>
      </c>
    </row>
    <row r="173" spans="1:10" x14ac:dyDescent="0.25">
      <c r="A173" s="6" t="s">
        <v>251</v>
      </c>
      <c r="B173" s="6" t="s">
        <v>23</v>
      </c>
      <c r="C173" s="2" t="s">
        <v>1055</v>
      </c>
      <c r="D173" s="2" t="s">
        <v>1056</v>
      </c>
      <c r="E173" s="2" t="s">
        <v>1057</v>
      </c>
      <c r="F173" s="2" t="s">
        <v>1058</v>
      </c>
      <c r="G173" s="2" t="s">
        <v>1059</v>
      </c>
      <c r="H173" s="2" t="s">
        <v>532</v>
      </c>
      <c r="J173" s="7" t="s">
        <v>13</v>
      </c>
    </row>
    <row r="174" spans="1:10" x14ac:dyDescent="0.25">
      <c r="A174" s="6" t="s">
        <v>251</v>
      </c>
      <c r="B174" s="6" t="s">
        <v>24</v>
      </c>
      <c r="C174" s="2" t="s">
        <v>1060</v>
      </c>
      <c r="D174" s="2" t="s">
        <v>1061</v>
      </c>
      <c r="E174" s="2" t="s">
        <v>1062</v>
      </c>
      <c r="F174" s="2" t="s">
        <v>1063</v>
      </c>
      <c r="G174" s="2" t="s">
        <v>1064</v>
      </c>
      <c r="H174" s="2" t="s">
        <v>532</v>
      </c>
      <c r="J174" s="7" t="s">
        <v>20</v>
      </c>
    </row>
    <row r="175" spans="1:10" x14ac:dyDescent="0.25">
      <c r="A175" s="6" t="s">
        <v>251</v>
      </c>
      <c r="B175" s="6" t="s">
        <v>25</v>
      </c>
      <c r="C175" s="2" t="s">
        <v>1065</v>
      </c>
      <c r="D175" s="2" t="s">
        <v>424</v>
      </c>
      <c r="E175" s="2" t="s">
        <v>425</v>
      </c>
      <c r="J175" s="7" t="s">
        <v>20</v>
      </c>
    </row>
    <row r="176" spans="1:10" x14ac:dyDescent="0.25">
      <c r="A176" s="6" t="s">
        <v>251</v>
      </c>
      <c r="B176" s="15" t="s">
        <v>26</v>
      </c>
      <c r="C176" s="2" t="s">
        <v>1066</v>
      </c>
      <c r="D176" s="2" t="s">
        <v>1067</v>
      </c>
      <c r="E176" s="2" t="s">
        <v>1068</v>
      </c>
      <c r="F176" s="2" t="s">
        <v>1069</v>
      </c>
      <c r="G176" s="2" t="s">
        <v>532</v>
      </c>
      <c r="J176" s="7" t="s">
        <v>20</v>
      </c>
    </row>
    <row r="177" spans="1:10" x14ac:dyDescent="0.25">
      <c r="A177" s="6" t="s">
        <v>251</v>
      </c>
      <c r="B177" s="6" t="s">
        <v>27</v>
      </c>
      <c r="C177" s="2" t="s">
        <v>1070</v>
      </c>
      <c r="D177" s="2" t="s">
        <v>1071</v>
      </c>
      <c r="E177" s="2" t="s">
        <v>1072</v>
      </c>
      <c r="F177" s="2" t="s">
        <v>1073</v>
      </c>
      <c r="G177" s="2" t="s">
        <v>1074</v>
      </c>
      <c r="H177" s="2" t="s">
        <v>532</v>
      </c>
      <c r="J177" s="7" t="s">
        <v>17</v>
      </c>
    </row>
    <row r="178" spans="1:10" x14ac:dyDescent="0.25">
      <c r="A178" s="6" t="s">
        <v>251</v>
      </c>
      <c r="B178" s="6" t="s">
        <v>28</v>
      </c>
      <c r="C178" s="2" t="s">
        <v>1075</v>
      </c>
      <c r="D178" s="2" t="s">
        <v>1076</v>
      </c>
      <c r="E178" s="2" t="s">
        <v>1077</v>
      </c>
      <c r="F178" s="2" t="s">
        <v>1078</v>
      </c>
      <c r="G178" s="2" t="s">
        <v>609</v>
      </c>
      <c r="H178" s="2" t="s">
        <v>532</v>
      </c>
      <c r="J178" s="7" t="s">
        <v>11</v>
      </c>
    </row>
    <row r="179" spans="1:10" x14ac:dyDescent="0.25">
      <c r="A179" s="6" t="s">
        <v>251</v>
      </c>
      <c r="B179" s="6" t="s">
        <v>29</v>
      </c>
      <c r="C179" s="2" t="s">
        <v>1079</v>
      </c>
      <c r="D179" s="2" t="s">
        <v>1080</v>
      </c>
      <c r="E179" s="2" t="s">
        <v>1081</v>
      </c>
      <c r="F179" s="2" t="s">
        <v>1082</v>
      </c>
      <c r="G179" s="2" t="s">
        <v>1083</v>
      </c>
      <c r="H179" s="2" t="s">
        <v>532</v>
      </c>
      <c r="J179" s="7" t="s">
        <v>17</v>
      </c>
    </row>
    <row r="180" spans="1:10" x14ac:dyDescent="0.25">
      <c r="A180" s="6" t="s">
        <v>251</v>
      </c>
      <c r="B180" s="6" t="s">
        <v>30</v>
      </c>
      <c r="C180" s="2" t="s">
        <v>1075</v>
      </c>
      <c r="D180" s="2" t="s">
        <v>1078</v>
      </c>
      <c r="E180" s="2" t="s">
        <v>1076</v>
      </c>
      <c r="F180" s="2" t="s">
        <v>1077</v>
      </c>
      <c r="G180" s="2" t="s">
        <v>609</v>
      </c>
      <c r="H180" s="2" t="s">
        <v>532</v>
      </c>
      <c r="J180" s="7" t="s">
        <v>11</v>
      </c>
    </row>
    <row r="181" spans="1:10" x14ac:dyDescent="0.25">
      <c r="A181" s="6" t="s">
        <v>251</v>
      </c>
      <c r="B181" s="6" t="s">
        <v>31</v>
      </c>
      <c r="C181" s="2" t="s">
        <v>1084</v>
      </c>
      <c r="D181" s="2" t="s">
        <v>1085</v>
      </c>
      <c r="E181" s="2" t="s">
        <v>562</v>
      </c>
      <c r="F181" s="2" t="s">
        <v>559</v>
      </c>
      <c r="G181" s="2" t="s">
        <v>1086</v>
      </c>
      <c r="H181" s="2" t="s">
        <v>532</v>
      </c>
      <c r="J181" s="7" t="s">
        <v>13</v>
      </c>
    </row>
    <row r="182" spans="1:10" x14ac:dyDescent="0.25">
      <c r="A182" s="6" t="s">
        <v>251</v>
      </c>
      <c r="B182" s="6" t="s">
        <v>32</v>
      </c>
      <c r="C182" s="2" t="s">
        <v>1087</v>
      </c>
      <c r="D182" s="2" t="s">
        <v>1088</v>
      </c>
      <c r="E182" s="2" t="s">
        <v>1089</v>
      </c>
      <c r="F182" s="2" t="s">
        <v>1090</v>
      </c>
      <c r="G182" s="2" t="s">
        <v>1091</v>
      </c>
      <c r="H182" s="2" t="s">
        <v>532</v>
      </c>
      <c r="J182" s="7" t="s">
        <v>11</v>
      </c>
    </row>
    <row r="183" spans="1:10" x14ac:dyDescent="0.25">
      <c r="A183" s="6" t="s">
        <v>251</v>
      </c>
      <c r="B183" s="15" t="s">
        <v>33</v>
      </c>
      <c r="C183" s="2" t="s">
        <v>1092</v>
      </c>
      <c r="D183" s="2" t="s">
        <v>955</v>
      </c>
      <c r="E183" s="2" t="s">
        <v>1093</v>
      </c>
      <c r="F183" s="2" t="s">
        <v>1094</v>
      </c>
      <c r="G183" s="2" t="s">
        <v>1095</v>
      </c>
      <c r="H183" s="2" t="s">
        <v>532</v>
      </c>
      <c r="J183" s="7" t="s">
        <v>13</v>
      </c>
    </row>
    <row r="184" spans="1:10" x14ac:dyDescent="0.25">
      <c r="A184" s="6" t="s">
        <v>251</v>
      </c>
      <c r="B184" s="6" t="s">
        <v>34</v>
      </c>
      <c r="C184" s="2" t="s">
        <v>1096</v>
      </c>
      <c r="D184" s="2" t="s">
        <v>1097</v>
      </c>
      <c r="E184" s="2" t="s">
        <v>1098</v>
      </c>
      <c r="F184" s="2" t="s">
        <v>1099</v>
      </c>
      <c r="G184" s="2" t="s">
        <v>1100</v>
      </c>
      <c r="H184" s="2" t="s">
        <v>532</v>
      </c>
      <c r="J184" s="7" t="s">
        <v>17</v>
      </c>
    </row>
    <row r="185" spans="1:10" x14ac:dyDescent="0.25">
      <c r="A185" s="6" t="s">
        <v>251</v>
      </c>
      <c r="B185" s="6" t="s">
        <v>35</v>
      </c>
      <c r="C185" s="2" t="s">
        <v>1101</v>
      </c>
      <c r="D185" s="2" t="s">
        <v>1102</v>
      </c>
      <c r="E185" s="2" t="s">
        <v>1103</v>
      </c>
      <c r="F185" s="2" t="s">
        <v>1104</v>
      </c>
      <c r="G185" s="2" t="s">
        <v>532</v>
      </c>
      <c r="J185" s="7" t="s">
        <v>13</v>
      </c>
    </row>
    <row r="186" spans="1:10" x14ac:dyDescent="0.25">
      <c r="A186" s="6" t="s">
        <v>251</v>
      </c>
      <c r="B186" s="6" t="s">
        <v>36</v>
      </c>
      <c r="C186" s="2" t="s">
        <v>1105</v>
      </c>
      <c r="D186" s="2" t="s">
        <v>1106</v>
      </c>
      <c r="E186" s="2" t="s">
        <v>1107</v>
      </c>
      <c r="F186" s="2" t="s">
        <v>1108</v>
      </c>
      <c r="G186" s="2" t="s">
        <v>1109</v>
      </c>
      <c r="H186" s="2" t="s">
        <v>532</v>
      </c>
      <c r="J186" s="7" t="s">
        <v>20</v>
      </c>
    </row>
    <row r="187" spans="1:10" x14ac:dyDescent="0.25">
      <c r="A187" s="6" t="s">
        <v>251</v>
      </c>
      <c r="B187" s="6" t="s">
        <v>37</v>
      </c>
      <c r="C187" s="2" t="s">
        <v>1110</v>
      </c>
      <c r="D187" s="2" t="s">
        <v>1111</v>
      </c>
      <c r="E187" s="2" t="s">
        <v>1112</v>
      </c>
      <c r="F187" s="2" t="s">
        <v>1113</v>
      </c>
      <c r="G187" s="2" t="s">
        <v>1114</v>
      </c>
      <c r="H187" s="2" t="s">
        <v>532</v>
      </c>
      <c r="J187" s="7" t="s">
        <v>17</v>
      </c>
    </row>
    <row r="188" spans="1:10" x14ac:dyDescent="0.25">
      <c r="A188" s="6" t="s">
        <v>257</v>
      </c>
      <c r="B188" s="6" t="s">
        <v>10</v>
      </c>
      <c r="C188" s="2" t="s">
        <v>1115</v>
      </c>
      <c r="D188" s="2" t="s">
        <v>1116</v>
      </c>
      <c r="E188" s="2" t="s">
        <v>1117</v>
      </c>
      <c r="F188" s="2" t="s">
        <v>1118</v>
      </c>
      <c r="G188" s="2" t="s">
        <v>532</v>
      </c>
      <c r="J188" s="7" t="s">
        <v>13</v>
      </c>
    </row>
    <row r="189" spans="1:10" x14ac:dyDescent="0.25">
      <c r="A189" s="6" t="s">
        <v>257</v>
      </c>
      <c r="B189" s="6" t="s">
        <v>12</v>
      </c>
      <c r="C189" s="2" t="s">
        <v>1180</v>
      </c>
      <c r="D189" s="2" t="s">
        <v>1119</v>
      </c>
      <c r="E189" s="2" t="s">
        <v>1120</v>
      </c>
      <c r="F189" s="2" t="s">
        <v>1181</v>
      </c>
      <c r="G189" s="2" t="s">
        <v>1182</v>
      </c>
      <c r="H189" s="2" t="s">
        <v>1121</v>
      </c>
      <c r="J189" s="7" t="s">
        <v>13</v>
      </c>
    </row>
    <row r="190" spans="1:10" x14ac:dyDescent="0.25">
      <c r="A190" s="6" t="s">
        <v>257</v>
      </c>
      <c r="B190" s="15" t="s">
        <v>14</v>
      </c>
      <c r="C190" s="2" t="s">
        <v>1122</v>
      </c>
      <c r="D190" s="2" t="s">
        <v>1123</v>
      </c>
      <c r="E190" s="2" t="s">
        <v>1124</v>
      </c>
      <c r="F190" s="2" t="s">
        <v>1125</v>
      </c>
      <c r="G190" s="2" t="s">
        <v>1126</v>
      </c>
      <c r="J190" s="7" t="s">
        <v>20</v>
      </c>
    </row>
    <row r="191" spans="1:10" x14ac:dyDescent="0.25">
      <c r="A191" s="6" t="s">
        <v>257</v>
      </c>
      <c r="B191" s="6" t="s">
        <v>15</v>
      </c>
      <c r="C191" s="2" t="s">
        <v>1183</v>
      </c>
      <c r="D191" s="2" t="s">
        <v>424</v>
      </c>
      <c r="E191" s="2" t="s">
        <v>425</v>
      </c>
      <c r="J191" s="7" t="s">
        <v>20</v>
      </c>
    </row>
    <row r="192" spans="1:10" x14ac:dyDescent="0.25">
      <c r="A192" s="6" t="s">
        <v>257</v>
      </c>
      <c r="B192" s="6" t="s">
        <v>16</v>
      </c>
      <c r="C192" s="2" t="s">
        <v>1127</v>
      </c>
      <c r="D192" s="2" t="s">
        <v>1128</v>
      </c>
      <c r="E192" s="2" t="s">
        <v>1129</v>
      </c>
      <c r="F192" s="2" t="s">
        <v>1130</v>
      </c>
      <c r="G192" s="2" t="s">
        <v>1131</v>
      </c>
      <c r="H192" s="2" t="s">
        <v>532</v>
      </c>
      <c r="J192" s="7" t="s">
        <v>11</v>
      </c>
    </row>
    <row r="193" spans="1:10" x14ac:dyDescent="0.25">
      <c r="A193" s="6" t="s">
        <v>257</v>
      </c>
      <c r="B193" s="15" t="s">
        <v>18</v>
      </c>
      <c r="C193" s="2" t="s">
        <v>1132</v>
      </c>
      <c r="D193" s="2" t="s">
        <v>1133</v>
      </c>
      <c r="E193" s="2" t="s">
        <v>1134</v>
      </c>
      <c r="F193" s="2" t="s">
        <v>1135</v>
      </c>
      <c r="G193" s="2" t="s">
        <v>1136</v>
      </c>
      <c r="H193" s="2" t="s">
        <v>532</v>
      </c>
      <c r="J193" s="7" t="s">
        <v>17</v>
      </c>
    </row>
    <row r="194" spans="1:10" x14ac:dyDescent="0.25">
      <c r="A194" s="6" t="s">
        <v>257</v>
      </c>
      <c r="B194" s="6" t="s">
        <v>19</v>
      </c>
      <c r="C194" s="2" t="s">
        <v>1184</v>
      </c>
      <c r="D194" s="2" t="s">
        <v>1137</v>
      </c>
      <c r="E194" s="2" t="s">
        <v>1138</v>
      </c>
      <c r="F194" s="2" t="s">
        <v>1139</v>
      </c>
      <c r="G194" s="2" t="s">
        <v>1140</v>
      </c>
      <c r="H194" s="2" t="s">
        <v>532</v>
      </c>
      <c r="J194" s="7" t="s">
        <v>11</v>
      </c>
    </row>
    <row r="195" spans="1:10" x14ac:dyDescent="0.25">
      <c r="A195" s="6" t="s">
        <v>257</v>
      </c>
      <c r="B195" s="6" t="s">
        <v>21</v>
      </c>
      <c r="C195" s="2" t="s">
        <v>1185</v>
      </c>
      <c r="D195" s="2" t="s">
        <v>1141</v>
      </c>
      <c r="E195" s="2" t="s">
        <v>1142</v>
      </c>
      <c r="F195" s="2" t="s">
        <v>1186</v>
      </c>
      <c r="G195" s="2" t="s">
        <v>532</v>
      </c>
      <c r="J195" s="7" t="s">
        <v>20</v>
      </c>
    </row>
    <row r="196" spans="1:10" x14ac:dyDescent="0.25">
      <c r="A196" s="6" t="s">
        <v>257</v>
      </c>
      <c r="B196" s="6" t="s">
        <v>23</v>
      </c>
      <c r="C196" s="2" t="s">
        <v>1187</v>
      </c>
      <c r="D196" s="2" t="s">
        <v>1143</v>
      </c>
      <c r="E196" s="2" t="s">
        <v>1144</v>
      </c>
      <c r="F196" s="2" t="s">
        <v>1145</v>
      </c>
      <c r="G196" s="2" t="s">
        <v>1146</v>
      </c>
      <c r="H196" s="2" t="s">
        <v>532</v>
      </c>
      <c r="J196" s="7" t="s">
        <v>11</v>
      </c>
    </row>
    <row r="197" spans="1:10" x14ac:dyDescent="0.25">
      <c r="A197" s="6" t="s">
        <v>257</v>
      </c>
      <c r="B197" s="15" t="s">
        <v>24</v>
      </c>
      <c r="C197" s="2" t="s">
        <v>1147</v>
      </c>
      <c r="D197" s="2" t="s">
        <v>1148</v>
      </c>
      <c r="E197" s="2" t="s">
        <v>1149</v>
      </c>
      <c r="F197" s="2" t="s">
        <v>1150</v>
      </c>
      <c r="G197" s="2" t="s">
        <v>532</v>
      </c>
      <c r="J197" s="7" t="s">
        <v>13</v>
      </c>
    </row>
    <row r="198" spans="1:10" x14ac:dyDescent="0.25">
      <c r="A198" s="6" t="s">
        <v>257</v>
      </c>
      <c r="B198" s="15" t="s">
        <v>25</v>
      </c>
      <c r="C198" s="2" t="s">
        <v>1151</v>
      </c>
      <c r="D198" s="2" t="s">
        <v>1152</v>
      </c>
      <c r="E198" s="2" t="s">
        <v>1153</v>
      </c>
      <c r="F198" s="2" t="s">
        <v>1154</v>
      </c>
      <c r="G198" s="2" t="s">
        <v>532</v>
      </c>
      <c r="J198" s="7" t="s">
        <v>20</v>
      </c>
    </row>
    <row r="199" spans="1:10" x14ac:dyDescent="0.25">
      <c r="A199" s="6" t="s">
        <v>257</v>
      </c>
      <c r="B199" s="6" t="s">
        <v>26</v>
      </c>
      <c r="C199" s="2" t="s">
        <v>1155</v>
      </c>
      <c r="D199" s="2" t="s">
        <v>1156</v>
      </c>
      <c r="E199" s="2" t="s">
        <v>168</v>
      </c>
      <c r="F199" s="2" t="s">
        <v>1157</v>
      </c>
      <c r="G199" s="2" t="s">
        <v>532</v>
      </c>
      <c r="J199" s="7" t="s">
        <v>17</v>
      </c>
    </row>
    <row r="200" spans="1:10" x14ac:dyDescent="0.25">
      <c r="A200" s="6" t="s">
        <v>257</v>
      </c>
      <c r="B200" s="6" t="s">
        <v>27</v>
      </c>
      <c r="C200" s="2" t="s">
        <v>1158</v>
      </c>
      <c r="D200" s="2" t="s">
        <v>1159</v>
      </c>
      <c r="E200" s="2" t="s">
        <v>1160</v>
      </c>
      <c r="F200" s="2" t="s">
        <v>1161</v>
      </c>
      <c r="G200" s="2" t="s">
        <v>1162</v>
      </c>
      <c r="H200" s="2" t="s">
        <v>532</v>
      </c>
      <c r="J200" s="7" t="s">
        <v>17</v>
      </c>
    </row>
    <row r="201" spans="1:10" x14ac:dyDescent="0.25">
      <c r="A201" s="6" t="s">
        <v>257</v>
      </c>
      <c r="B201" s="6" t="s">
        <v>28</v>
      </c>
      <c r="C201" s="2" t="s">
        <v>1163</v>
      </c>
      <c r="D201" s="2" t="s">
        <v>1164</v>
      </c>
      <c r="E201" s="2" t="s">
        <v>1154</v>
      </c>
      <c r="F201" s="2" t="s">
        <v>1188</v>
      </c>
      <c r="G201" s="2" t="s">
        <v>532</v>
      </c>
      <c r="H201" s="2" t="s">
        <v>532</v>
      </c>
      <c r="J201" s="7" t="s">
        <v>17</v>
      </c>
    </row>
    <row r="202" spans="1:10" x14ac:dyDescent="0.25">
      <c r="A202" s="6" t="s">
        <v>257</v>
      </c>
      <c r="B202" s="6" t="s">
        <v>29</v>
      </c>
      <c r="C202" s="2" t="s">
        <v>1165</v>
      </c>
      <c r="D202" s="2" t="s">
        <v>1166</v>
      </c>
      <c r="E202" s="2" t="s">
        <v>1167</v>
      </c>
      <c r="F202" s="2" t="s">
        <v>532</v>
      </c>
      <c r="J202" s="7" t="s">
        <v>17</v>
      </c>
    </row>
    <row r="203" spans="1:10" x14ac:dyDescent="0.25">
      <c r="A203" s="6" t="s">
        <v>257</v>
      </c>
      <c r="B203" s="6" t="s">
        <v>30</v>
      </c>
      <c r="C203" s="2" t="s">
        <v>1168</v>
      </c>
      <c r="D203" s="2" t="s">
        <v>1169</v>
      </c>
      <c r="E203" s="2" t="s">
        <v>1189</v>
      </c>
      <c r="F203" s="2" t="s">
        <v>1170</v>
      </c>
      <c r="G203" s="2" t="s">
        <v>1171</v>
      </c>
      <c r="J203" s="7" t="s">
        <v>17</v>
      </c>
    </row>
    <row r="204" spans="1:10" x14ac:dyDescent="0.25">
      <c r="A204" s="6" t="s">
        <v>257</v>
      </c>
      <c r="B204" s="6" t="s">
        <v>31</v>
      </c>
      <c r="C204" s="2" t="s">
        <v>1172</v>
      </c>
      <c r="D204" s="2" t="s">
        <v>1173</v>
      </c>
      <c r="E204" s="2" t="s">
        <v>1174</v>
      </c>
      <c r="F204" s="2" t="s">
        <v>1175</v>
      </c>
      <c r="G204" s="2" t="s">
        <v>1176</v>
      </c>
      <c r="H204" s="2" t="s">
        <v>532</v>
      </c>
      <c r="J204" s="7" t="s">
        <v>11</v>
      </c>
    </row>
    <row r="205" spans="1:10" x14ac:dyDescent="0.25">
      <c r="A205" s="6" t="s">
        <v>257</v>
      </c>
      <c r="B205" s="6" t="s">
        <v>32</v>
      </c>
      <c r="C205" s="2" t="s">
        <v>1177</v>
      </c>
      <c r="D205" s="2" t="s">
        <v>1178</v>
      </c>
      <c r="E205" s="2" t="s">
        <v>1190</v>
      </c>
      <c r="F205" s="2" t="s">
        <v>1179</v>
      </c>
      <c r="G205" s="2" t="s">
        <v>532</v>
      </c>
      <c r="J205" s="7" t="s">
        <v>13</v>
      </c>
    </row>
    <row r="206" spans="1:10" x14ac:dyDescent="0.25">
      <c r="A206" s="6" t="s">
        <v>1458</v>
      </c>
      <c r="B206" s="6" t="s">
        <v>10</v>
      </c>
      <c r="C206" s="2" t="s">
        <v>1478</v>
      </c>
      <c r="D206" s="2" t="s">
        <v>1246</v>
      </c>
      <c r="E206" s="2" t="s">
        <v>1247</v>
      </c>
      <c r="F206" s="2" t="s">
        <v>1248</v>
      </c>
      <c r="G206" s="2" t="s">
        <v>89</v>
      </c>
      <c r="H206" s="2" t="s">
        <v>1249</v>
      </c>
      <c r="J206" s="7" t="s">
        <v>13</v>
      </c>
    </row>
    <row r="207" spans="1:10" x14ac:dyDescent="0.25">
      <c r="A207" s="6" t="s">
        <v>1458</v>
      </c>
      <c r="B207" s="6" t="s">
        <v>12</v>
      </c>
      <c r="C207" s="2" t="s">
        <v>1479</v>
      </c>
      <c r="D207" s="2" t="s">
        <v>403</v>
      </c>
      <c r="E207" s="2" t="s">
        <v>1250</v>
      </c>
      <c r="F207" s="2" t="s">
        <v>1251</v>
      </c>
      <c r="G207" s="2" t="s">
        <v>1252</v>
      </c>
      <c r="H207" s="2" t="s">
        <v>1253</v>
      </c>
      <c r="J207" s="7" t="s">
        <v>13</v>
      </c>
    </row>
    <row r="208" spans="1:10" x14ac:dyDescent="0.25">
      <c r="A208" s="6" t="s">
        <v>1458</v>
      </c>
      <c r="B208" s="6" t="s">
        <v>14</v>
      </c>
      <c r="C208" s="2" t="s">
        <v>1480</v>
      </c>
      <c r="D208" s="2" t="s">
        <v>1254</v>
      </c>
      <c r="E208" s="2" t="s">
        <v>1255</v>
      </c>
      <c r="F208" s="2" t="s">
        <v>1256</v>
      </c>
      <c r="G208" s="2" t="s">
        <v>1257</v>
      </c>
      <c r="H208" s="2" t="s">
        <v>1258</v>
      </c>
      <c r="J208" s="7" t="s">
        <v>11</v>
      </c>
    </row>
    <row r="209" spans="1:10" x14ac:dyDescent="0.25">
      <c r="A209" s="6" t="s">
        <v>1458</v>
      </c>
      <c r="B209" s="6" t="s">
        <v>15</v>
      </c>
      <c r="C209" s="2" t="s">
        <v>1481</v>
      </c>
      <c r="D209" s="2" t="s">
        <v>1259</v>
      </c>
      <c r="E209" s="2" t="s">
        <v>1260</v>
      </c>
      <c r="F209" s="2" t="s">
        <v>1261</v>
      </c>
      <c r="G209" s="2" t="s">
        <v>89</v>
      </c>
      <c r="H209" s="2" t="s">
        <v>1262</v>
      </c>
      <c r="J209" s="7" t="s">
        <v>22</v>
      </c>
    </row>
    <row r="210" spans="1:10" x14ac:dyDescent="0.25">
      <c r="A210" s="6" t="s">
        <v>1458</v>
      </c>
      <c r="B210" s="6" t="s">
        <v>16</v>
      </c>
      <c r="C210" s="2" t="s">
        <v>1482</v>
      </c>
      <c r="D210" s="2" t="s">
        <v>1263</v>
      </c>
      <c r="E210" s="2" t="s">
        <v>1264</v>
      </c>
      <c r="F210" s="2" t="s">
        <v>1265</v>
      </c>
      <c r="G210" s="2" t="s">
        <v>1266</v>
      </c>
      <c r="H210" s="2" t="s">
        <v>368</v>
      </c>
      <c r="J210" s="7" t="s">
        <v>22</v>
      </c>
    </row>
    <row r="211" spans="1:10" x14ac:dyDescent="0.25">
      <c r="A211" s="6" t="s">
        <v>1458</v>
      </c>
      <c r="B211" s="6" t="s">
        <v>18</v>
      </c>
      <c r="C211" s="2" t="s">
        <v>1267</v>
      </c>
      <c r="D211" s="2" t="s">
        <v>1268</v>
      </c>
      <c r="E211" s="2" t="s">
        <v>1269</v>
      </c>
      <c r="F211" s="2" t="s">
        <v>1270</v>
      </c>
      <c r="G211" s="2" t="s">
        <v>89</v>
      </c>
      <c r="H211" s="2" t="s">
        <v>1271</v>
      </c>
      <c r="J211" s="7" t="s">
        <v>17</v>
      </c>
    </row>
    <row r="212" spans="1:10" x14ac:dyDescent="0.25">
      <c r="A212" s="6" t="s">
        <v>1458</v>
      </c>
      <c r="B212" s="6" t="s">
        <v>19</v>
      </c>
      <c r="C212" s="2" t="s">
        <v>1483</v>
      </c>
      <c r="D212" s="2" t="s">
        <v>1272</v>
      </c>
      <c r="E212" s="2" t="s">
        <v>1273</v>
      </c>
      <c r="F212" s="2" t="s">
        <v>1274</v>
      </c>
      <c r="G212" s="2" t="s">
        <v>89</v>
      </c>
      <c r="H212" s="2" t="s">
        <v>1275</v>
      </c>
      <c r="J212" s="7" t="s">
        <v>22</v>
      </c>
    </row>
    <row r="213" spans="1:10" x14ac:dyDescent="0.25">
      <c r="A213" s="6" t="s">
        <v>1458</v>
      </c>
      <c r="B213" s="6" t="s">
        <v>21</v>
      </c>
      <c r="C213" s="2" t="s">
        <v>1484</v>
      </c>
      <c r="D213" s="2" t="s">
        <v>1276</v>
      </c>
      <c r="E213" s="2" t="s">
        <v>89</v>
      </c>
      <c r="F213" s="2" t="s">
        <v>1277</v>
      </c>
      <c r="G213" s="2" t="s">
        <v>1278</v>
      </c>
      <c r="H213" s="2" t="s">
        <v>1279</v>
      </c>
      <c r="J213" s="7" t="s">
        <v>11</v>
      </c>
    </row>
    <row r="214" spans="1:10" x14ac:dyDescent="0.25">
      <c r="A214" s="6" t="s">
        <v>1458</v>
      </c>
      <c r="B214" s="6" t="s">
        <v>23</v>
      </c>
      <c r="C214" s="2" t="s">
        <v>1280</v>
      </c>
      <c r="D214" s="2" t="s">
        <v>1281</v>
      </c>
      <c r="E214" s="2" t="s">
        <v>1282</v>
      </c>
      <c r="F214" s="2" t="s">
        <v>1283</v>
      </c>
      <c r="G214" s="2" t="s">
        <v>1284</v>
      </c>
      <c r="H214" s="2" t="s">
        <v>532</v>
      </c>
      <c r="J214" s="7" t="s">
        <v>11</v>
      </c>
    </row>
    <row r="215" spans="1:10" x14ac:dyDescent="0.25">
      <c r="A215" s="6" t="s">
        <v>1458</v>
      </c>
      <c r="B215" s="6" t="s">
        <v>24</v>
      </c>
      <c r="C215" s="2" t="s">
        <v>1485</v>
      </c>
      <c r="D215" s="2" t="s">
        <v>1285</v>
      </c>
      <c r="E215" s="2" t="s">
        <v>1286</v>
      </c>
      <c r="F215" s="2" t="s">
        <v>89</v>
      </c>
      <c r="G215" s="2" t="s">
        <v>1287</v>
      </c>
      <c r="H215" s="2" t="s">
        <v>1288</v>
      </c>
      <c r="J215" s="7" t="s">
        <v>13</v>
      </c>
    </row>
    <row r="216" spans="1:10" x14ac:dyDescent="0.25">
      <c r="A216" s="6" t="s">
        <v>1458</v>
      </c>
      <c r="B216" s="6" t="s">
        <v>25</v>
      </c>
      <c r="C216" s="2" t="s">
        <v>1486</v>
      </c>
      <c r="D216" s="2" t="s">
        <v>1289</v>
      </c>
      <c r="E216" s="2" t="s">
        <v>1290</v>
      </c>
      <c r="F216" s="2" t="s">
        <v>1291</v>
      </c>
      <c r="G216" s="2" t="s">
        <v>89</v>
      </c>
      <c r="H216" s="2" t="s">
        <v>1453</v>
      </c>
      <c r="J216" s="7" t="s">
        <v>20</v>
      </c>
    </row>
    <row r="217" spans="1:10" x14ac:dyDescent="0.25">
      <c r="A217" s="6" t="s">
        <v>1458</v>
      </c>
      <c r="B217" s="6" t="s">
        <v>26</v>
      </c>
      <c r="C217" s="2" t="s">
        <v>1487</v>
      </c>
      <c r="D217" s="2" t="s">
        <v>17</v>
      </c>
      <c r="E217" s="2" t="s">
        <v>11</v>
      </c>
      <c r="F217" s="2" t="s">
        <v>13</v>
      </c>
      <c r="G217" s="2" t="s">
        <v>89</v>
      </c>
      <c r="H217" s="2" t="s">
        <v>20</v>
      </c>
      <c r="J217" s="7" t="s">
        <v>22</v>
      </c>
    </row>
    <row r="218" spans="1:10" x14ac:dyDescent="0.25">
      <c r="A218" s="6" t="s">
        <v>1458</v>
      </c>
      <c r="B218" s="6" t="s">
        <v>27</v>
      </c>
      <c r="C218" s="2" t="s">
        <v>1488</v>
      </c>
      <c r="D218" s="2" t="s">
        <v>1292</v>
      </c>
      <c r="E218" s="2" t="s">
        <v>89</v>
      </c>
      <c r="F218" s="2" t="s">
        <v>1293</v>
      </c>
      <c r="G218" s="2" t="s">
        <v>1294</v>
      </c>
      <c r="H218" s="2" t="s">
        <v>1295</v>
      </c>
      <c r="J218" s="7" t="s">
        <v>22</v>
      </c>
    </row>
    <row r="219" spans="1:10" x14ac:dyDescent="0.25">
      <c r="A219" s="6" t="s">
        <v>1458</v>
      </c>
      <c r="B219" s="6" t="s">
        <v>28</v>
      </c>
      <c r="C219" s="2" t="s">
        <v>1452</v>
      </c>
      <c r="D219" s="2" t="s">
        <v>887</v>
      </c>
      <c r="E219" s="2" t="s">
        <v>889</v>
      </c>
      <c r="F219" s="2" t="s">
        <v>886</v>
      </c>
      <c r="G219" s="2" t="s">
        <v>1296</v>
      </c>
      <c r="H219" s="2" t="s">
        <v>89</v>
      </c>
      <c r="J219" s="7" t="s">
        <v>22</v>
      </c>
    </row>
    <row r="220" spans="1:10" x14ac:dyDescent="0.25">
      <c r="A220" s="6" t="s">
        <v>1458</v>
      </c>
      <c r="B220" s="6" t="s">
        <v>29</v>
      </c>
      <c r="C220" s="2" t="s">
        <v>1297</v>
      </c>
      <c r="D220" s="2" t="s">
        <v>1298</v>
      </c>
      <c r="E220" s="2" t="s">
        <v>1299</v>
      </c>
      <c r="F220" s="2" t="s">
        <v>1300</v>
      </c>
      <c r="G220" s="2" t="s">
        <v>89</v>
      </c>
      <c r="H220" s="2" t="s">
        <v>846</v>
      </c>
      <c r="J220" s="7" t="s">
        <v>13</v>
      </c>
    </row>
    <row r="221" spans="1:10" x14ac:dyDescent="0.25">
      <c r="A221" s="6" t="s">
        <v>1458</v>
      </c>
      <c r="B221" s="6" t="s">
        <v>30</v>
      </c>
      <c r="C221" s="2" t="s">
        <v>1301</v>
      </c>
      <c r="D221" s="2" t="s">
        <v>1302</v>
      </c>
      <c r="E221" s="2" t="s">
        <v>1303</v>
      </c>
      <c r="F221" s="2" t="s">
        <v>1304</v>
      </c>
      <c r="G221" s="2" t="s">
        <v>89</v>
      </c>
      <c r="H221" s="2" t="s">
        <v>1305</v>
      </c>
      <c r="J221" s="7" t="s">
        <v>13</v>
      </c>
    </row>
    <row r="222" spans="1:10" x14ac:dyDescent="0.25">
      <c r="A222" s="6" t="s">
        <v>1458</v>
      </c>
      <c r="B222" s="6" t="s">
        <v>31</v>
      </c>
      <c r="C222" s="2" t="s">
        <v>1306</v>
      </c>
      <c r="D222" s="2" t="s">
        <v>89</v>
      </c>
      <c r="E222" s="2" t="s">
        <v>1307</v>
      </c>
      <c r="F222" s="2" t="s">
        <v>1451</v>
      </c>
      <c r="G222" s="2" t="s">
        <v>1308</v>
      </c>
      <c r="H222" s="2" t="s">
        <v>1309</v>
      </c>
      <c r="J222" s="7" t="s">
        <v>17</v>
      </c>
    </row>
    <row r="223" spans="1:10" x14ac:dyDescent="0.25">
      <c r="A223" s="6" t="s">
        <v>1458</v>
      </c>
      <c r="B223" s="6" t="s">
        <v>32</v>
      </c>
      <c r="C223" s="2" t="s">
        <v>1489</v>
      </c>
      <c r="D223" s="2" t="s">
        <v>1310</v>
      </c>
      <c r="E223" s="2" t="s">
        <v>1311</v>
      </c>
      <c r="F223" s="2" t="s">
        <v>89</v>
      </c>
      <c r="G223" s="2" t="s">
        <v>1312</v>
      </c>
      <c r="H223" s="2" t="s">
        <v>1313</v>
      </c>
      <c r="J223" s="7" t="s">
        <v>13</v>
      </c>
    </row>
    <row r="224" spans="1:10" x14ac:dyDescent="0.25">
      <c r="A224" s="6" t="s">
        <v>1458</v>
      </c>
      <c r="B224" s="6" t="s">
        <v>33</v>
      </c>
      <c r="C224" s="2" t="s">
        <v>1490</v>
      </c>
      <c r="D224" s="2" t="s">
        <v>429</v>
      </c>
      <c r="E224" s="2" t="s">
        <v>89</v>
      </c>
      <c r="F224" s="2" t="s">
        <v>431</v>
      </c>
      <c r="G224" s="2" t="s">
        <v>430</v>
      </c>
      <c r="H224" s="2" t="s">
        <v>432</v>
      </c>
      <c r="J224" s="7" t="s">
        <v>22</v>
      </c>
    </row>
    <row r="225" spans="1:10" x14ac:dyDescent="0.25">
      <c r="A225" s="6" t="s">
        <v>1458</v>
      </c>
      <c r="B225" s="6" t="s">
        <v>34</v>
      </c>
      <c r="C225" s="2" t="s">
        <v>1491</v>
      </c>
      <c r="D225" s="2" t="s">
        <v>431</v>
      </c>
      <c r="E225" s="2" t="s">
        <v>89</v>
      </c>
      <c r="F225" s="2" t="s">
        <v>430</v>
      </c>
      <c r="G225" s="2" t="s">
        <v>432</v>
      </c>
      <c r="H225" s="2" t="s">
        <v>429</v>
      </c>
      <c r="J225" s="7" t="s">
        <v>22</v>
      </c>
    </row>
    <row r="226" spans="1:10" x14ac:dyDescent="0.25">
      <c r="A226" s="6" t="s">
        <v>1459</v>
      </c>
      <c r="B226" s="6" t="s">
        <v>10</v>
      </c>
      <c r="C226" s="2" t="s">
        <v>1492</v>
      </c>
      <c r="D226" s="2" t="s">
        <v>1314</v>
      </c>
      <c r="E226" s="2" t="s">
        <v>1315</v>
      </c>
      <c r="F226" s="2" t="s">
        <v>1316</v>
      </c>
      <c r="G226" s="2" t="s">
        <v>89</v>
      </c>
      <c r="H226" s="2" t="s">
        <v>1317</v>
      </c>
      <c r="J226" s="7" t="s">
        <v>20</v>
      </c>
    </row>
    <row r="227" spans="1:10" x14ac:dyDescent="0.25">
      <c r="A227" s="6" t="s">
        <v>1459</v>
      </c>
      <c r="B227" s="6" t="s">
        <v>12</v>
      </c>
      <c r="C227" s="2" t="s">
        <v>1493</v>
      </c>
      <c r="D227" s="2" t="s">
        <v>1318</v>
      </c>
      <c r="E227" s="2" t="s">
        <v>1319</v>
      </c>
      <c r="F227" s="2" t="s">
        <v>1320</v>
      </c>
      <c r="G227" s="2" t="s">
        <v>1321</v>
      </c>
      <c r="H227" s="2" t="s">
        <v>89</v>
      </c>
      <c r="J227" s="7" t="s">
        <v>20</v>
      </c>
    </row>
    <row r="228" spans="1:10" x14ac:dyDescent="0.25">
      <c r="A228" s="6" t="s">
        <v>1459</v>
      </c>
      <c r="B228" s="6" t="s">
        <v>14</v>
      </c>
      <c r="C228" s="2" t="s">
        <v>1494</v>
      </c>
      <c r="D228" s="2" t="s">
        <v>1322</v>
      </c>
      <c r="E228" s="2" t="s">
        <v>1323</v>
      </c>
      <c r="F228" s="2" t="s">
        <v>1324</v>
      </c>
      <c r="G228" s="2" t="s">
        <v>1325</v>
      </c>
      <c r="H228" s="2" t="s">
        <v>89</v>
      </c>
      <c r="J228" s="7" t="s">
        <v>13</v>
      </c>
    </row>
    <row r="229" spans="1:10" x14ac:dyDescent="0.25">
      <c r="A229" s="6" t="s">
        <v>1459</v>
      </c>
      <c r="B229" s="6" t="s">
        <v>15</v>
      </c>
      <c r="C229" s="2" t="s">
        <v>1495</v>
      </c>
      <c r="D229" s="2" t="s">
        <v>1326</v>
      </c>
      <c r="E229" s="2" t="s">
        <v>1327</v>
      </c>
      <c r="F229" s="2" t="s">
        <v>1328</v>
      </c>
      <c r="G229" s="2" t="s">
        <v>1329</v>
      </c>
      <c r="H229" s="2" t="s">
        <v>89</v>
      </c>
      <c r="J229" s="7" t="s">
        <v>13</v>
      </c>
    </row>
    <row r="230" spans="1:10" x14ac:dyDescent="0.25">
      <c r="A230" s="6" t="s">
        <v>1459</v>
      </c>
      <c r="B230" s="6" t="s">
        <v>16</v>
      </c>
      <c r="C230" s="2" t="s">
        <v>1496</v>
      </c>
      <c r="D230" s="2" t="s">
        <v>89</v>
      </c>
      <c r="E230" s="2" t="s">
        <v>1330</v>
      </c>
      <c r="F230" s="2" t="s">
        <v>1331</v>
      </c>
      <c r="G230" s="2" t="s">
        <v>1332</v>
      </c>
      <c r="H230" s="2" t="s">
        <v>1333</v>
      </c>
      <c r="J230" s="7" t="s">
        <v>17</v>
      </c>
    </row>
    <row r="231" spans="1:10" x14ac:dyDescent="0.25">
      <c r="A231" s="6" t="s">
        <v>1459</v>
      </c>
      <c r="B231" s="6" t="s">
        <v>18</v>
      </c>
      <c r="C231" s="2" t="s">
        <v>1497</v>
      </c>
      <c r="D231" s="2" t="s">
        <v>1334</v>
      </c>
      <c r="E231" s="2" t="s">
        <v>1335</v>
      </c>
      <c r="F231" s="2" t="s">
        <v>1457</v>
      </c>
      <c r="G231" s="2" t="s">
        <v>89</v>
      </c>
      <c r="J231" s="7" t="s">
        <v>13</v>
      </c>
    </row>
    <row r="232" spans="1:10" x14ac:dyDescent="0.25">
      <c r="A232" s="6" t="s">
        <v>1459</v>
      </c>
      <c r="B232" s="6" t="s">
        <v>19</v>
      </c>
      <c r="C232" s="2" t="s">
        <v>1498</v>
      </c>
      <c r="D232" s="2" t="s">
        <v>89</v>
      </c>
      <c r="E232" s="2" t="s">
        <v>1336</v>
      </c>
      <c r="F232" s="2" t="s">
        <v>1337</v>
      </c>
      <c r="G232" s="2" t="s">
        <v>1338</v>
      </c>
      <c r="H232" s="2" t="s">
        <v>1339</v>
      </c>
      <c r="J232" s="7" t="s">
        <v>17</v>
      </c>
    </row>
    <row r="233" spans="1:10" x14ac:dyDescent="0.25">
      <c r="A233" s="6" t="s">
        <v>1459</v>
      </c>
      <c r="B233" s="6" t="s">
        <v>21</v>
      </c>
      <c r="C233" s="2" t="s">
        <v>1499</v>
      </c>
      <c r="D233" s="2" t="s">
        <v>1340</v>
      </c>
      <c r="E233" s="2" t="s">
        <v>89</v>
      </c>
      <c r="F233" s="2" t="s">
        <v>1341</v>
      </c>
      <c r="G233" s="2" t="s">
        <v>1342</v>
      </c>
      <c r="H233" s="2" t="s">
        <v>1343</v>
      </c>
      <c r="J233" s="7" t="s">
        <v>22</v>
      </c>
    </row>
    <row r="234" spans="1:10" x14ac:dyDescent="0.25">
      <c r="A234" s="6" t="s">
        <v>1459</v>
      </c>
      <c r="B234" s="6" t="s">
        <v>23</v>
      </c>
      <c r="C234" s="2" t="s">
        <v>1500</v>
      </c>
      <c r="D234" s="2" t="s">
        <v>1344</v>
      </c>
      <c r="E234" s="2" t="s">
        <v>1345</v>
      </c>
      <c r="F234" s="2" t="s">
        <v>1346</v>
      </c>
      <c r="G234" s="2" t="s">
        <v>1347</v>
      </c>
      <c r="H234" s="2" t="s">
        <v>1348</v>
      </c>
      <c r="J234" s="7" t="s">
        <v>11</v>
      </c>
    </row>
    <row r="235" spans="1:10" x14ac:dyDescent="0.25">
      <c r="A235" s="6" t="s">
        <v>1459</v>
      </c>
      <c r="B235" s="6" t="s">
        <v>24</v>
      </c>
      <c r="C235" s="2" t="s">
        <v>1349</v>
      </c>
      <c r="D235" s="2" t="s">
        <v>89</v>
      </c>
      <c r="E235" s="2" t="s">
        <v>1350</v>
      </c>
      <c r="F235" s="2" t="s">
        <v>1351</v>
      </c>
      <c r="G235" s="2" t="s">
        <v>1352</v>
      </c>
      <c r="H235" s="2" t="s">
        <v>1353</v>
      </c>
      <c r="J235" s="7" t="s">
        <v>17</v>
      </c>
    </row>
    <row r="236" spans="1:10" x14ac:dyDescent="0.25">
      <c r="A236" s="6" t="s">
        <v>1459</v>
      </c>
      <c r="B236" s="6" t="s">
        <v>25</v>
      </c>
      <c r="C236" s="2" t="s">
        <v>1354</v>
      </c>
      <c r="D236" s="2" t="s">
        <v>1355</v>
      </c>
      <c r="E236" s="2" t="s">
        <v>90</v>
      </c>
      <c r="F236" s="2" t="s">
        <v>1356</v>
      </c>
      <c r="G236" s="2" t="s">
        <v>1357</v>
      </c>
      <c r="H236" s="2" t="s">
        <v>1358</v>
      </c>
      <c r="J236" s="7" t="s">
        <v>13</v>
      </c>
    </row>
    <row r="237" spans="1:10" x14ac:dyDescent="0.25">
      <c r="A237" s="6" t="s">
        <v>1459</v>
      </c>
      <c r="B237" s="6" t="s">
        <v>26</v>
      </c>
      <c r="C237" s="2" t="s">
        <v>1359</v>
      </c>
      <c r="D237" s="2" t="s">
        <v>931</v>
      </c>
      <c r="E237" s="2" t="s">
        <v>1360</v>
      </c>
      <c r="F237" s="2" t="s">
        <v>1361</v>
      </c>
      <c r="G237" s="2" t="s">
        <v>89</v>
      </c>
      <c r="H237" s="2" t="s">
        <v>1362</v>
      </c>
      <c r="J237" s="7" t="s">
        <v>17</v>
      </c>
    </row>
    <row r="238" spans="1:10" x14ac:dyDescent="0.25">
      <c r="A238" s="6" t="s">
        <v>1459</v>
      </c>
      <c r="B238" s="6" t="s">
        <v>27</v>
      </c>
      <c r="C238" s="2" t="s">
        <v>1501</v>
      </c>
      <c r="D238" s="2" t="s">
        <v>1363</v>
      </c>
      <c r="E238" s="2" t="s">
        <v>1364</v>
      </c>
      <c r="F238" s="2" t="s">
        <v>89</v>
      </c>
      <c r="G238" s="2" t="s">
        <v>1278</v>
      </c>
      <c r="H238" s="2" t="s">
        <v>1365</v>
      </c>
      <c r="J238" s="7" t="s">
        <v>11</v>
      </c>
    </row>
    <row r="239" spans="1:10" x14ac:dyDescent="0.25">
      <c r="A239" s="6" t="s">
        <v>1459</v>
      </c>
      <c r="B239" s="6" t="s">
        <v>28</v>
      </c>
      <c r="C239" s="2" t="s">
        <v>1502</v>
      </c>
      <c r="D239" s="2" t="s">
        <v>1366</v>
      </c>
      <c r="E239" s="2" t="s">
        <v>1367</v>
      </c>
      <c r="F239" s="2" t="s">
        <v>89</v>
      </c>
      <c r="G239" s="2" t="s">
        <v>1368</v>
      </c>
      <c r="H239" s="2" t="s">
        <v>1369</v>
      </c>
      <c r="J239" s="7" t="s">
        <v>22</v>
      </c>
    </row>
    <row r="240" spans="1:10" x14ac:dyDescent="0.25">
      <c r="A240" s="6" t="s">
        <v>1459</v>
      </c>
      <c r="B240" s="6" t="s">
        <v>29</v>
      </c>
      <c r="C240" s="2" t="s">
        <v>1503</v>
      </c>
      <c r="D240" s="2" t="s">
        <v>466</v>
      </c>
      <c r="E240" s="2" t="s">
        <v>464</v>
      </c>
      <c r="F240" s="2" t="s">
        <v>1370</v>
      </c>
      <c r="G240" s="2" t="s">
        <v>89</v>
      </c>
      <c r="H240" s="2" t="s">
        <v>1371</v>
      </c>
      <c r="J240" s="7" t="s">
        <v>20</v>
      </c>
    </row>
    <row r="241" spans="1:10" x14ac:dyDescent="0.25">
      <c r="A241" s="6" t="s">
        <v>1459</v>
      </c>
      <c r="B241" s="6" t="s">
        <v>30</v>
      </c>
      <c r="C241" s="2" t="s">
        <v>1504</v>
      </c>
      <c r="D241" s="2" t="s">
        <v>1372</v>
      </c>
      <c r="E241" s="2" t="s">
        <v>1454</v>
      </c>
      <c r="F241" s="2" t="s">
        <v>89</v>
      </c>
      <c r="G241" s="2" t="s">
        <v>1455</v>
      </c>
      <c r="H241" s="2" t="s">
        <v>1373</v>
      </c>
      <c r="J241" s="7" t="s">
        <v>20</v>
      </c>
    </row>
    <row r="242" spans="1:10" x14ac:dyDescent="0.25">
      <c r="A242" s="6" t="s">
        <v>1459</v>
      </c>
      <c r="B242" s="6" t="s">
        <v>31</v>
      </c>
      <c r="C242" s="2" t="s">
        <v>1505</v>
      </c>
      <c r="D242" s="2" t="s">
        <v>1374</v>
      </c>
      <c r="E242" s="2" t="s">
        <v>1375</v>
      </c>
      <c r="F242" s="2" t="s">
        <v>89</v>
      </c>
      <c r="G242" s="2" t="s">
        <v>1376</v>
      </c>
      <c r="H242" s="2" t="s">
        <v>1377</v>
      </c>
      <c r="J242" s="7" t="s">
        <v>20</v>
      </c>
    </row>
    <row r="243" spans="1:10" x14ac:dyDescent="0.25">
      <c r="A243" s="6" t="s">
        <v>1459</v>
      </c>
      <c r="B243" s="6" t="s">
        <v>32</v>
      </c>
      <c r="C243" s="2" t="s">
        <v>1506</v>
      </c>
      <c r="D243" s="2" t="s">
        <v>95</v>
      </c>
      <c r="E243" s="2" t="s">
        <v>1378</v>
      </c>
      <c r="F243" s="2" t="s">
        <v>1379</v>
      </c>
      <c r="G243" s="2" t="s">
        <v>89</v>
      </c>
      <c r="H243" s="2" t="s">
        <v>1380</v>
      </c>
      <c r="J243" s="7" t="s">
        <v>13</v>
      </c>
    </row>
    <row r="244" spans="1:10" x14ac:dyDescent="0.25">
      <c r="A244" s="6" t="s">
        <v>1459</v>
      </c>
      <c r="B244" s="6" t="s">
        <v>33</v>
      </c>
      <c r="C244" s="2" t="s">
        <v>1381</v>
      </c>
      <c r="D244" s="2" t="s">
        <v>872</v>
      </c>
      <c r="E244" s="2" t="s">
        <v>871</v>
      </c>
      <c r="F244" s="2" t="s">
        <v>89</v>
      </c>
      <c r="G244" s="2" t="s">
        <v>874</v>
      </c>
      <c r="H244" s="2" t="s">
        <v>873</v>
      </c>
      <c r="J244" s="7" t="s">
        <v>20</v>
      </c>
    </row>
    <row r="245" spans="1:10" x14ac:dyDescent="0.25">
      <c r="A245" s="6" t="s">
        <v>1459</v>
      </c>
      <c r="B245" s="6" t="s">
        <v>34</v>
      </c>
      <c r="C245" s="2" t="s">
        <v>1382</v>
      </c>
      <c r="D245" s="2" t="s">
        <v>89</v>
      </c>
      <c r="E245" s="2" t="s">
        <v>1383</v>
      </c>
      <c r="F245" s="2" t="s">
        <v>1456</v>
      </c>
      <c r="G245" s="2" t="s">
        <v>1384</v>
      </c>
      <c r="H245" s="2" t="s">
        <v>1385</v>
      </c>
      <c r="J245" s="7" t="s">
        <v>17</v>
      </c>
    </row>
    <row r="246" spans="1:10" x14ac:dyDescent="0.25">
      <c r="A246" s="6" t="s">
        <v>1460</v>
      </c>
      <c r="B246" s="6" t="s">
        <v>10</v>
      </c>
      <c r="C246" s="2" t="s">
        <v>1386</v>
      </c>
      <c r="D246" s="2" t="s">
        <v>1387</v>
      </c>
      <c r="E246" s="2" t="s">
        <v>1388</v>
      </c>
      <c r="F246" s="2" t="s">
        <v>1389</v>
      </c>
      <c r="G246" s="2" t="s">
        <v>1390</v>
      </c>
      <c r="H246" s="2" t="s">
        <v>89</v>
      </c>
      <c r="J246" s="7" t="s">
        <v>20</v>
      </c>
    </row>
    <row r="247" spans="1:10" x14ac:dyDescent="0.25">
      <c r="A247" s="6" t="s">
        <v>1460</v>
      </c>
      <c r="B247" s="6" t="s">
        <v>12</v>
      </c>
      <c r="C247" s="2" t="s">
        <v>1391</v>
      </c>
      <c r="D247" s="2" t="s">
        <v>89</v>
      </c>
      <c r="E247" s="2" t="s">
        <v>1392</v>
      </c>
      <c r="F247" s="2" t="s">
        <v>1393</v>
      </c>
      <c r="G247" s="2" t="s">
        <v>1394</v>
      </c>
      <c r="H247" s="2" t="s">
        <v>1395</v>
      </c>
      <c r="J247" s="7" t="s">
        <v>20</v>
      </c>
    </row>
    <row r="248" spans="1:10" x14ac:dyDescent="0.25">
      <c r="A248" s="6" t="s">
        <v>1460</v>
      </c>
      <c r="B248" s="6" t="s">
        <v>14</v>
      </c>
      <c r="C248" s="2" t="s">
        <v>1396</v>
      </c>
      <c r="D248" s="2" t="s">
        <v>1397</v>
      </c>
      <c r="E248" s="2" t="s">
        <v>1398</v>
      </c>
      <c r="F248" s="2" t="s">
        <v>89</v>
      </c>
      <c r="G248" s="2" t="s">
        <v>1399</v>
      </c>
      <c r="H248" s="2" t="s">
        <v>1400</v>
      </c>
      <c r="J248" s="7" t="s">
        <v>20</v>
      </c>
    </row>
    <row r="249" spans="1:10" x14ac:dyDescent="0.25">
      <c r="A249" s="6" t="s">
        <v>1460</v>
      </c>
      <c r="B249" s="6" t="s">
        <v>15</v>
      </c>
      <c r="C249" s="2" t="s">
        <v>1401</v>
      </c>
      <c r="D249" s="2" t="s">
        <v>1402</v>
      </c>
      <c r="E249" s="2" t="s">
        <v>1403</v>
      </c>
      <c r="F249" s="2" t="s">
        <v>89</v>
      </c>
      <c r="G249" s="2" t="s">
        <v>1404</v>
      </c>
      <c r="H249" s="2" t="s">
        <v>1405</v>
      </c>
      <c r="J249" s="7" t="s">
        <v>20</v>
      </c>
    </row>
    <row r="250" spans="1:10" x14ac:dyDescent="0.25">
      <c r="A250" s="6" t="s">
        <v>1460</v>
      </c>
      <c r="B250" s="6" t="s">
        <v>16</v>
      </c>
      <c r="C250" s="2" t="s">
        <v>1507</v>
      </c>
      <c r="D250" s="2" t="s">
        <v>723</v>
      </c>
      <c r="E250" s="2" t="s">
        <v>720</v>
      </c>
      <c r="F250" s="2" t="s">
        <v>721</v>
      </c>
      <c r="G250" s="2" t="s">
        <v>89</v>
      </c>
      <c r="H250" s="2" t="s">
        <v>1406</v>
      </c>
      <c r="J250" s="7" t="s">
        <v>22</v>
      </c>
    </row>
    <row r="251" spans="1:10" x14ac:dyDescent="0.25">
      <c r="A251" s="6" t="s">
        <v>1460</v>
      </c>
      <c r="B251" s="6" t="s">
        <v>18</v>
      </c>
      <c r="C251" s="2" t="s">
        <v>1508</v>
      </c>
      <c r="D251" s="2" t="s">
        <v>1407</v>
      </c>
      <c r="E251" s="2" t="s">
        <v>1408</v>
      </c>
      <c r="F251" s="2" t="s">
        <v>1409</v>
      </c>
      <c r="G251" s="2" t="s">
        <v>1410</v>
      </c>
      <c r="H251" s="2" t="s">
        <v>89</v>
      </c>
      <c r="J251" s="7" t="s">
        <v>17</v>
      </c>
    </row>
    <row r="252" spans="1:10" x14ac:dyDescent="0.25">
      <c r="A252" s="6" t="s">
        <v>1460</v>
      </c>
      <c r="B252" s="6" t="s">
        <v>19</v>
      </c>
      <c r="C252" s="2" t="s">
        <v>1509</v>
      </c>
      <c r="D252" s="2" t="s">
        <v>1411</v>
      </c>
      <c r="E252" s="2" t="s">
        <v>1412</v>
      </c>
      <c r="F252" s="2" t="s">
        <v>1413</v>
      </c>
      <c r="G252" s="2" t="s">
        <v>89</v>
      </c>
      <c r="H252" s="2" t="s">
        <v>1414</v>
      </c>
      <c r="J252" s="7" t="s">
        <v>13</v>
      </c>
    </row>
    <row r="253" spans="1:10" x14ac:dyDescent="0.25">
      <c r="A253" s="6" t="s">
        <v>1460</v>
      </c>
      <c r="B253" s="6" t="s">
        <v>21</v>
      </c>
      <c r="C253" s="2" t="s">
        <v>1510</v>
      </c>
      <c r="D253" s="2" t="s">
        <v>1415</v>
      </c>
      <c r="E253" s="2" t="s">
        <v>1416</v>
      </c>
      <c r="F253" s="2" t="s">
        <v>1417</v>
      </c>
      <c r="G253" s="2" t="s">
        <v>1418</v>
      </c>
      <c r="H253" s="2" t="s">
        <v>89</v>
      </c>
      <c r="J253" s="7" t="s">
        <v>11</v>
      </c>
    </row>
    <row r="254" spans="1:10" x14ac:dyDescent="0.25">
      <c r="A254" s="6" t="s">
        <v>1460</v>
      </c>
      <c r="B254" s="6" t="s">
        <v>23</v>
      </c>
      <c r="C254" s="2" t="s">
        <v>1511</v>
      </c>
      <c r="D254" s="2" t="s">
        <v>1419</v>
      </c>
      <c r="E254" s="2" t="s">
        <v>1420</v>
      </c>
      <c r="F254" s="2" t="s">
        <v>1421</v>
      </c>
      <c r="G254" s="2" t="s">
        <v>368</v>
      </c>
      <c r="H254" s="2" t="s">
        <v>1422</v>
      </c>
      <c r="J254" s="7" t="s">
        <v>11</v>
      </c>
    </row>
    <row r="255" spans="1:10" x14ac:dyDescent="0.25">
      <c r="A255" s="6" t="s">
        <v>1460</v>
      </c>
      <c r="B255" s="6" t="s">
        <v>24</v>
      </c>
      <c r="C255" s="2" t="s">
        <v>1512</v>
      </c>
      <c r="D255" s="2" t="s">
        <v>89</v>
      </c>
      <c r="E255" s="2" t="s">
        <v>1423</v>
      </c>
      <c r="F255" s="2" t="s">
        <v>1424</v>
      </c>
      <c r="G255" s="2" t="s">
        <v>1425</v>
      </c>
      <c r="H255" s="2" t="s">
        <v>1426</v>
      </c>
      <c r="J255" s="7" t="s">
        <v>17</v>
      </c>
    </row>
    <row r="256" spans="1:10" x14ac:dyDescent="0.25">
      <c r="A256" s="6" t="s">
        <v>1460</v>
      </c>
      <c r="B256" s="6" t="s">
        <v>25</v>
      </c>
      <c r="C256" s="2" t="s">
        <v>1513</v>
      </c>
      <c r="D256" s="2" t="s">
        <v>1427</v>
      </c>
      <c r="E256" s="2" t="s">
        <v>1428</v>
      </c>
      <c r="F256" s="2" t="s">
        <v>89</v>
      </c>
      <c r="G256" s="2" t="s">
        <v>1429</v>
      </c>
      <c r="H256" s="2" t="s">
        <v>1430</v>
      </c>
      <c r="J256" s="7" t="s">
        <v>11</v>
      </c>
    </row>
    <row r="257" spans="1:10" x14ac:dyDescent="0.25">
      <c r="A257" s="6" t="s">
        <v>1460</v>
      </c>
      <c r="B257" s="6" t="s">
        <v>26</v>
      </c>
      <c r="C257" s="2" t="s">
        <v>1431</v>
      </c>
      <c r="D257" s="2" t="s">
        <v>1432</v>
      </c>
      <c r="E257" s="2" t="s">
        <v>1433</v>
      </c>
      <c r="F257" s="2" t="s">
        <v>1434</v>
      </c>
      <c r="G257" s="2" t="s">
        <v>1435</v>
      </c>
      <c r="H257" s="2" t="s">
        <v>89</v>
      </c>
      <c r="J257" s="7" t="s">
        <v>17</v>
      </c>
    </row>
    <row r="258" spans="1:10" x14ac:dyDescent="0.25">
      <c r="A258" s="6" t="s">
        <v>1460</v>
      </c>
      <c r="B258" s="6" t="s">
        <v>27</v>
      </c>
      <c r="C258" s="2" t="s">
        <v>1436</v>
      </c>
      <c r="D258" s="2" t="s">
        <v>1437</v>
      </c>
      <c r="E258" s="2" t="s">
        <v>1438</v>
      </c>
      <c r="F258" s="2" t="s">
        <v>1439</v>
      </c>
      <c r="G258" s="2" t="s">
        <v>1440</v>
      </c>
      <c r="H258" s="2" t="s">
        <v>89</v>
      </c>
      <c r="J258" s="7" t="s">
        <v>20</v>
      </c>
    </row>
    <row r="259" spans="1:10" x14ac:dyDescent="0.25">
      <c r="A259" s="6" t="s">
        <v>1460</v>
      </c>
      <c r="B259" s="6" t="s">
        <v>28</v>
      </c>
      <c r="C259" s="2" t="s">
        <v>1441</v>
      </c>
      <c r="D259" s="2" t="s">
        <v>1442</v>
      </c>
      <c r="E259" s="2" t="s">
        <v>1443</v>
      </c>
      <c r="F259" s="2" t="s">
        <v>1444</v>
      </c>
      <c r="G259" s="2" t="s">
        <v>1445</v>
      </c>
      <c r="H259" s="2" t="s">
        <v>89</v>
      </c>
      <c r="J259" s="7" t="s">
        <v>13</v>
      </c>
    </row>
    <row r="260" spans="1:10" x14ac:dyDescent="0.25">
      <c r="A260" s="6" t="s">
        <v>1460</v>
      </c>
      <c r="B260" s="6" t="s">
        <v>29</v>
      </c>
      <c r="C260" s="2" t="s">
        <v>1446</v>
      </c>
      <c r="D260" s="2" t="s">
        <v>1447</v>
      </c>
      <c r="E260" s="2" t="s">
        <v>1448</v>
      </c>
      <c r="F260" s="2" t="s">
        <v>1449</v>
      </c>
      <c r="G260" s="2" t="s">
        <v>1450</v>
      </c>
      <c r="H260" s="2" t="s">
        <v>89</v>
      </c>
      <c r="J260" s="7" t="s">
        <v>11</v>
      </c>
    </row>
    <row r="261" spans="1:10" x14ac:dyDescent="0.25">
      <c r="A261" s="6" t="s">
        <v>1460</v>
      </c>
      <c r="B261" s="15" t="s">
        <v>30</v>
      </c>
      <c r="C261" s="2" t="s">
        <v>1514</v>
      </c>
      <c r="D261" s="2" t="s">
        <v>123</v>
      </c>
      <c r="E261" s="2" t="s">
        <v>124</v>
      </c>
      <c r="F261" s="2" t="s">
        <v>125</v>
      </c>
      <c r="G261" s="2" t="s">
        <v>126</v>
      </c>
      <c r="H261" s="2" t="s">
        <v>127</v>
      </c>
      <c r="I261" s="2" t="s">
        <v>89</v>
      </c>
      <c r="J261" s="7" t="s">
        <v>11</v>
      </c>
    </row>
    <row r="262" spans="1:10" x14ac:dyDescent="0.25">
      <c r="A262" s="6" t="s">
        <v>1460</v>
      </c>
      <c r="B262" s="15" t="s">
        <v>31</v>
      </c>
      <c r="C262" s="2" t="s">
        <v>1515</v>
      </c>
      <c r="D262" s="2" t="s">
        <v>132</v>
      </c>
      <c r="E262" s="2" t="s">
        <v>133</v>
      </c>
      <c r="F262" s="2" t="s">
        <v>134</v>
      </c>
      <c r="G262" s="2" t="s">
        <v>135</v>
      </c>
      <c r="H262" s="2" t="s">
        <v>89</v>
      </c>
      <c r="I262" s="2" t="s">
        <v>118</v>
      </c>
      <c r="J262" s="7" t="s">
        <v>17</v>
      </c>
    </row>
    <row r="263" spans="1:10" x14ac:dyDescent="0.25">
      <c r="A263" s="6" t="s">
        <v>1460</v>
      </c>
      <c r="B263" s="15" t="s">
        <v>32</v>
      </c>
      <c r="C263" s="2" t="s">
        <v>1516</v>
      </c>
      <c r="D263" s="2" t="s">
        <v>140</v>
      </c>
      <c r="E263" s="2" t="s">
        <v>141</v>
      </c>
      <c r="F263" s="2" t="s">
        <v>142</v>
      </c>
      <c r="G263" s="2" t="s">
        <v>143</v>
      </c>
      <c r="H263" s="2" t="s">
        <v>89</v>
      </c>
      <c r="I263" s="2" t="s">
        <v>118</v>
      </c>
      <c r="J263" s="7" t="s">
        <v>20</v>
      </c>
    </row>
    <row r="264" spans="1:10" x14ac:dyDescent="0.25">
      <c r="A264" s="6" t="s">
        <v>1460</v>
      </c>
      <c r="B264" s="15" t="s">
        <v>33</v>
      </c>
      <c r="C264" s="2" t="s">
        <v>1517</v>
      </c>
      <c r="D264" s="2" t="s">
        <v>184</v>
      </c>
      <c r="E264" s="2" t="s">
        <v>185</v>
      </c>
      <c r="F264" s="2" t="s">
        <v>186</v>
      </c>
      <c r="G264" s="2" t="s">
        <v>187</v>
      </c>
      <c r="H264" s="2" t="s">
        <v>89</v>
      </c>
      <c r="I264" s="2" t="s">
        <v>118</v>
      </c>
      <c r="J264" s="7" t="s">
        <v>17</v>
      </c>
    </row>
    <row r="265" spans="1:10" x14ac:dyDescent="0.25">
      <c r="A265" s="6" t="s">
        <v>1460</v>
      </c>
      <c r="B265" s="15" t="s">
        <v>34</v>
      </c>
      <c r="C265" s="2" t="s">
        <v>1518</v>
      </c>
      <c r="D265" s="2" t="s">
        <v>272</v>
      </c>
      <c r="E265" s="2" t="s">
        <v>273</v>
      </c>
      <c r="F265" s="2" t="s">
        <v>274</v>
      </c>
      <c r="G265" s="2" t="s">
        <v>275</v>
      </c>
      <c r="H265" s="2" t="s">
        <v>89</v>
      </c>
      <c r="J265" s="7" t="s">
        <v>17</v>
      </c>
    </row>
    <row r="266" spans="1:10" x14ac:dyDescent="0.25">
      <c r="A266" s="6" t="s">
        <v>1461</v>
      </c>
      <c r="B266" s="15" t="s">
        <v>10</v>
      </c>
      <c r="C266" s="2" t="s">
        <v>1519</v>
      </c>
      <c r="D266" s="2" t="s">
        <v>339</v>
      </c>
      <c r="E266" s="2" t="s">
        <v>340</v>
      </c>
      <c r="F266" s="2" t="s">
        <v>341</v>
      </c>
      <c r="G266" s="2" t="s">
        <v>342</v>
      </c>
      <c r="H266" s="2" t="s">
        <v>89</v>
      </c>
      <c r="J266" s="7" t="s">
        <v>20</v>
      </c>
    </row>
    <row r="267" spans="1:10" x14ac:dyDescent="0.25">
      <c r="A267" s="6" t="s">
        <v>1461</v>
      </c>
      <c r="B267" s="15" t="s">
        <v>12</v>
      </c>
      <c r="C267" s="2" t="s">
        <v>1520</v>
      </c>
      <c r="D267" s="2" t="s">
        <v>344</v>
      </c>
      <c r="E267" s="2" t="s">
        <v>340</v>
      </c>
      <c r="F267" s="2" t="s">
        <v>341</v>
      </c>
      <c r="G267" s="2" t="s">
        <v>345</v>
      </c>
      <c r="H267" s="2" t="s">
        <v>89</v>
      </c>
      <c r="J267" s="7" t="s">
        <v>13</v>
      </c>
    </row>
    <row r="268" spans="1:10" x14ac:dyDescent="0.25">
      <c r="A268" s="6" t="s">
        <v>1461</v>
      </c>
      <c r="B268" s="15" t="s">
        <v>14</v>
      </c>
      <c r="C268" s="2" t="s">
        <v>1521</v>
      </c>
      <c r="D268" s="2" t="s">
        <v>665</v>
      </c>
      <c r="E268" s="2" t="s">
        <v>666</v>
      </c>
      <c r="F268" s="2" t="s">
        <v>667</v>
      </c>
      <c r="G268" s="2" t="s">
        <v>668</v>
      </c>
      <c r="H268" s="2" t="s">
        <v>701</v>
      </c>
      <c r="J268" s="7" t="s">
        <v>22</v>
      </c>
    </row>
    <row r="269" spans="1:10" x14ac:dyDescent="0.25">
      <c r="A269" s="6" t="s">
        <v>1461</v>
      </c>
      <c r="B269" s="15" t="s">
        <v>15</v>
      </c>
      <c r="C269" s="2" t="s">
        <v>1522</v>
      </c>
      <c r="D269" s="2" t="s">
        <v>715</v>
      </c>
      <c r="E269" s="2" t="s">
        <v>716</v>
      </c>
      <c r="F269" s="2" t="s">
        <v>717</v>
      </c>
      <c r="G269" s="2" t="s">
        <v>718</v>
      </c>
      <c r="H269" s="2" t="s">
        <v>89</v>
      </c>
      <c r="J269" s="7" t="s">
        <v>20</v>
      </c>
    </row>
    <row r="270" spans="1:10" x14ac:dyDescent="0.25">
      <c r="A270" s="6" t="s">
        <v>1461</v>
      </c>
      <c r="B270" s="15" t="s">
        <v>16</v>
      </c>
      <c r="C270" s="2" t="s">
        <v>1523</v>
      </c>
      <c r="D270" s="2" t="s">
        <v>730</v>
      </c>
      <c r="E270" s="2" t="s">
        <v>731</v>
      </c>
      <c r="F270" s="2" t="s">
        <v>732</v>
      </c>
      <c r="G270" s="2" t="s">
        <v>733</v>
      </c>
      <c r="H270" s="2" t="s">
        <v>89</v>
      </c>
      <c r="J270" s="7" t="s">
        <v>11</v>
      </c>
    </row>
    <row r="271" spans="1:10" x14ac:dyDescent="0.25">
      <c r="A271" s="6" t="s">
        <v>1461</v>
      </c>
      <c r="B271" s="15" t="s">
        <v>18</v>
      </c>
      <c r="C271" s="2" t="s">
        <v>1524</v>
      </c>
      <c r="D271" s="2" t="s">
        <v>735</v>
      </c>
      <c r="E271" s="2" t="s">
        <v>736</v>
      </c>
      <c r="F271" s="2" t="s">
        <v>737</v>
      </c>
      <c r="G271" s="2" t="s">
        <v>738</v>
      </c>
      <c r="H271" s="2" t="s">
        <v>89</v>
      </c>
      <c r="J271" s="7" t="s">
        <v>20</v>
      </c>
    </row>
    <row r="272" spans="1:10" x14ac:dyDescent="0.25">
      <c r="A272" s="6" t="s">
        <v>1461</v>
      </c>
      <c r="B272" s="15" t="s">
        <v>19</v>
      </c>
      <c r="C272" s="2" t="s">
        <v>1462</v>
      </c>
      <c r="D272" s="2" t="s">
        <v>776</v>
      </c>
      <c r="E272" s="2" t="s">
        <v>777</v>
      </c>
      <c r="F272" s="2" t="s">
        <v>778</v>
      </c>
      <c r="G272" s="2" t="s">
        <v>779</v>
      </c>
      <c r="H272" s="2" t="s">
        <v>89</v>
      </c>
      <c r="J272" s="7" t="s">
        <v>20</v>
      </c>
    </row>
    <row r="273" spans="1:10" x14ac:dyDescent="0.25">
      <c r="A273" s="6" t="s">
        <v>1461</v>
      </c>
      <c r="B273" s="15" t="s">
        <v>21</v>
      </c>
      <c r="C273" s="2" t="s">
        <v>1463</v>
      </c>
      <c r="D273" s="2" t="s">
        <v>801</v>
      </c>
      <c r="E273" s="2" t="s">
        <v>802</v>
      </c>
      <c r="F273" s="2" t="s">
        <v>803</v>
      </c>
      <c r="G273" s="2" t="s">
        <v>804</v>
      </c>
      <c r="H273" s="2" t="s">
        <v>89</v>
      </c>
      <c r="J273" s="7" t="s">
        <v>17</v>
      </c>
    </row>
    <row r="274" spans="1:10" x14ac:dyDescent="0.25">
      <c r="A274" s="6" t="s">
        <v>1461</v>
      </c>
      <c r="B274" s="15" t="s">
        <v>23</v>
      </c>
      <c r="C274" s="2" t="s">
        <v>1464</v>
      </c>
      <c r="D274" s="2" t="s">
        <v>806</v>
      </c>
      <c r="E274" s="2" t="s">
        <v>807</v>
      </c>
      <c r="F274" s="2" t="s">
        <v>808</v>
      </c>
      <c r="G274" s="2" t="s">
        <v>809</v>
      </c>
      <c r="H274" s="2" t="s">
        <v>89</v>
      </c>
      <c r="J274" s="7" t="s">
        <v>17</v>
      </c>
    </row>
    <row r="275" spans="1:10" x14ac:dyDescent="0.25">
      <c r="A275" s="6" t="s">
        <v>1461</v>
      </c>
      <c r="B275" s="15" t="s">
        <v>24</v>
      </c>
      <c r="C275" s="2" t="s">
        <v>1465</v>
      </c>
      <c r="D275" s="2" t="s">
        <v>826</v>
      </c>
      <c r="E275" s="2" t="s">
        <v>827</v>
      </c>
      <c r="F275" s="2" t="s">
        <v>828</v>
      </c>
      <c r="G275" s="2" t="s">
        <v>829</v>
      </c>
      <c r="H275" s="2" t="s">
        <v>89</v>
      </c>
      <c r="J275" s="7" t="s">
        <v>20</v>
      </c>
    </row>
    <row r="276" spans="1:10" x14ac:dyDescent="0.25">
      <c r="A276" s="6" t="s">
        <v>1461</v>
      </c>
      <c r="B276" s="15" t="s">
        <v>25</v>
      </c>
      <c r="C276" s="2" t="s">
        <v>1466</v>
      </c>
      <c r="D276" s="2" t="s">
        <v>1067</v>
      </c>
      <c r="E276" s="2" t="s">
        <v>1068</v>
      </c>
      <c r="F276" s="2" t="s">
        <v>1069</v>
      </c>
      <c r="G276" s="2" t="s">
        <v>532</v>
      </c>
      <c r="J276" s="7" t="s">
        <v>20</v>
      </c>
    </row>
    <row r="277" spans="1:10" x14ac:dyDescent="0.25">
      <c r="A277" s="6" t="s">
        <v>1461</v>
      </c>
      <c r="B277" s="15" t="s">
        <v>26</v>
      </c>
      <c r="C277" s="2" t="s">
        <v>1467</v>
      </c>
      <c r="D277" s="2" t="s">
        <v>955</v>
      </c>
      <c r="E277" s="2" t="s">
        <v>1093</v>
      </c>
      <c r="F277" s="2" t="s">
        <v>1094</v>
      </c>
      <c r="G277" s="2" t="s">
        <v>1095</v>
      </c>
      <c r="H277" s="2" t="s">
        <v>532</v>
      </c>
      <c r="J277" s="7" t="s">
        <v>13</v>
      </c>
    </row>
    <row r="278" spans="1:10" x14ac:dyDescent="0.25">
      <c r="A278" s="6" t="s">
        <v>1461</v>
      </c>
      <c r="B278" s="15" t="s">
        <v>27</v>
      </c>
      <c r="C278" s="2" t="s">
        <v>1468</v>
      </c>
      <c r="D278" s="2" t="s">
        <v>1123</v>
      </c>
      <c r="E278" s="2" t="s">
        <v>1124</v>
      </c>
      <c r="F278" s="2" t="s">
        <v>1125</v>
      </c>
      <c r="G278" s="2" t="s">
        <v>1126</v>
      </c>
      <c r="J278" s="7" t="s">
        <v>20</v>
      </c>
    </row>
    <row r="279" spans="1:10" x14ac:dyDescent="0.25">
      <c r="A279" s="6" t="s">
        <v>1461</v>
      </c>
      <c r="B279" s="15" t="s">
        <v>28</v>
      </c>
      <c r="C279" s="2" t="s">
        <v>1469</v>
      </c>
      <c r="D279" s="2" t="s">
        <v>1133</v>
      </c>
      <c r="E279" s="2" t="s">
        <v>1134</v>
      </c>
      <c r="F279" s="2" t="s">
        <v>1135</v>
      </c>
      <c r="G279" s="2" t="s">
        <v>1136</v>
      </c>
      <c r="H279" s="2" t="s">
        <v>532</v>
      </c>
      <c r="J279" s="7" t="s">
        <v>17</v>
      </c>
    </row>
    <row r="280" spans="1:10" x14ac:dyDescent="0.25">
      <c r="A280" s="6" t="s">
        <v>1461</v>
      </c>
      <c r="B280" s="15" t="s">
        <v>29</v>
      </c>
      <c r="C280" s="2" t="s">
        <v>1470</v>
      </c>
      <c r="D280" s="2" t="s">
        <v>1148</v>
      </c>
      <c r="E280" s="2" t="s">
        <v>1149</v>
      </c>
      <c r="F280" s="2" t="s">
        <v>1150</v>
      </c>
      <c r="G280" s="2" t="s">
        <v>532</v>
      </c>
      <c r="J280" s="7" t="s">
        <v>13</v>
      </c>
    </row>
    <row r="281" spans="1:10" x14ac:dyDescent="0.25">
      <c r="A281" s="6" t="s">
        <v>1461</v>
      </c>
      <c r="B281" s="15" t="s">
        <v>30</v>
      </c>
      <c r="C281" s="2" t="s">
        <v>1471</v>
      </c>
      <c r="D281" s="2" t="s">
        <v>1152</v>
      </c>
      <c r="E281" s="2" t="s">
        <v>1153</v>
      </c>
      <c r="F281" s="2" t="s">
        <v>1154</v>
      </c>
      <c r="G281" s="2" t="s">
        <v>532</v>
      </c>
      <c r="J281" s="7" t="s">
        <v>20</v>
      </c>
    </row>
    <row r="282" spans="1:10" x14ac:dyDescent="0.25">
      <c r="A282" s="6" t="s">
        <v>1461</v>
      </c>
      <c r="B282" s="6" t="s">
        <v>31</v>
      </c>
      <c r="C282" s="2" t="s">
        <v>1587</v>
      </c>
      <c r="D282" s="2" t="s">
        <v>1588</v>
      </c>
      <c r="E282" s="2" t="s">
        <v>1589</v>
      </c>
      <c r="F282" s="2" t="s">
        <v>1590</v>
      </c>
      <c r="G282" s="2" t="s">
        <v>1591</v>
      </c>
      <c r="H282" s="2" t="s">
        <v>1592</v>
      </c>
      <c r="J282" s="7" t="s">
        <v>20</v>
      </c>
    </row>
    <row r="283" spans="1:10" x14ac:dyDescent="0.25">
      <c r="A283" s="6" t="s">
        <v>1461</v>
      </c>
      <c r="B283" s="6" t="s">
        <v>32</v>
      </c>
      <c r="C283" s="2" t="s">
        <v>1593</v>
      </c>
      <c r="D283" s="2" t="s">
        <v>89</v>
      </c>
      <c r="E283" s="2" t="s">
        <v>1594</v>
      </c>
      <c r="F283" s="2" t="s">
        <v>1595</v>
      </c>
      <c r="G283" s="2" t="s">
        <v>1596</v>
      </c>
      <c r="H283" s="2" t="s">
        <v>1597</v>
      </c>
      <c r="J283" s="7" t="s">
        <v>17</v>
      </c>
    </row>
    <row r="284" spans="1:10" x14ac:dyDescent="0.25">
      <c r="A284" s="6" t="s">
        <v>1461</v>
      </c>
      <c r="B284" s="6" t="s">
        <v>33</v>
      </c>
      <c r="C284" s="2" t="s">
        <v>1598</v>
      </c>
      <c r="D284" s="2" t="s">
        <v>1599</v>
      </c>
      <c r="E284" s="2" t="s">
        <v>1600</v>
      </c>
      <c r="F284" s="2" t="s">
        <v>1601</v>
      </c>
      <c r="G284" s="2" t="s">
        <v>89</v>
      </c>
      <c r="H284" s="2" t="s">
        <v>1602</v>
      </c>
      <c r="J284" s="7" t="s">
        <v>22</v>
      </c>
    </row>
    <row r="285" spans="1:10" x14ac:dyDescent="0.25">
      <c r="A285" s="6" t="s">
        <v>1461</v>
      </c>
      <c r="B285" s="6" t="s">
        <v>34</v>
      </c>
      <c r="C285" s="2" t="s">
        <v>1603</v>
      </c>
      <c r="D285" s="2" t="s">
        <v>1604</v>
      </c>
      <c r="E285" s="2" t="s">
        <v>1605</v>
      </c>
      <c r="F285" s="2" t="s">
        <v>1606</v>
      </c>
      <c r="G285" s="2" t="s">
        <v>1607</v>
      </c>
      <c r="H285" s="2" t="s">
        <v>1608</v>
      </c>
      <c r="J285" s="7" t="s">
        <v>20</v>
      </c>
    </row>
    <row r="286" spans="1:10" x14ac:dyDescent="0.25">
      <c r="A286" s="6" t="s">
        <v>1788</v>
      </c>
      <c r="B286" s="6" t="s">
        <v>10</v>
      </c>
      <c r="C286" s="2" t="s">
        <v>1609</v>
      </c>
      <c r="D286" s="2" t="s">
        <v>1610</v>
      </c>
      <c r="E286" s="2" t="s">
        <v>89</v>
      </c>
      <c r="F286" s="2" t="s">
        <v>1611</v>
      </c>
      <c r="G286" s="2" t="s">
        <v>1612</v>
      </c>
      <c r="H286" s="2" t="s">
        <v>1613</v>
      </c>
      <c r="J286" s="7" t="s">
        <v>17</v>
      </c>
    </row>
    <row r="287" spans="1:10" x14ac:dyDescent="0.25">
      <c r="A287" s="6" t="s">
        <v>1788</v>
      </c>
      <c r="B287" s="6" t="s">
        <v>12</v>
      </c>
      <c r="C287" s="2" t="s">
        <v>1614</v>
      </c>
      <c r="D287" s="2" t="s">
        <v>1615</v>
      </c>
      <c r="E287" s="2" t="s">
        <v>1616</v>
      </c>
      <c r="F287" s="2" t="s">
        <v>1617</v>
      </c>
      <c r="G287" s="2" t="s">
        <v>89</v>
      </c>
      <c r="H287" s="2" t="s">
        <v>1618</v>
      </c>
      <c r="J287" s="7" t="s">
        <v>17</v>
      </c>
    </row>
    <row r="288" spans="1:10" x14ac:dyDescent="0.25">
      <c r="A288" s="6" t="s">
        <v>1788</v>
      </c>
      <c r="B288" s="6" t="s">
        <v>14</v>
      </c>
      <c r="C288" s="2" t="s">
        <v>1619</v>
      </c>
      <c r="D288" s="2" t="s">
        <v>89</v>
      </c>
      <c r="E288" s="2" t="s">
        <v>1620</v>
      </c>
      <c r="F288" s="2" t="s">
        <v>1621</v>
      </c>
      <c r="G288" s="2" t="s">
        <v>1622</v>
      </c>
      <c r="H288" s="2" t="s">
        <v>1623</v>
      </c>
      <c r="J288" s="7" t="s">
        <v>13</v>
      </c>
    </row>
    <row r="289" spans="1:10" x14ac:dyDescent="0.25">
      <c r="A289" s="6" t="s">
        <v>1788</v>
      </c>
      <c r="B289" s="6" t="s">
        <v>15</v>
      </c>
      <c r="C289" s="2" t="s">
        <v>1624</v>
      </c>
      <c r="D289" s="2" t="s">
        <v>1625</v>
      </c>
      <c r="E289" s="2" t="s">
        <v>89</v>
      </c>
      <c r="F289" s="2" t="s">
        <v>1626</v>
      </c>
      <c r="G289" s="2" t="s">
        <v>1627</v>
      </c>
      <c r="H289" s="2" t="s">
        <v>1628</v>
      </c>
      <c r="J289" s="7" t="s">
        <v>11</v>
      </c>
    </row>
    <row r="290" spans="1:10" x14ac:dyDescent="0.25">
      <c r="A290" s="6" t="s">
        <v>1788</v>
      </c>
      <c r="B290" s="6" t="s">
        <v>16</v>
      </c>
      <c r="C290" s="2" t="s">
        <v>1629</v>
      </c>
      <c r="D290" s="2" t="s">
        <v>1630</v>
      </c>
      <c r="E290" s="2" t="s">
        <v>1631</v>
      </c>
      <c r="F290" s="2" t="s">
        <v>1632</v>
      </c>
      <c r="G290" s="2" t="s">
        <v>89</v>
      </c>
      <c r="H290" s="2" t="s">
        <v>1633</v>
      </c>
      <c r="J290" s="7" t="s">
        <v>13</v>
      </c>
    </row>
    <row r="291" spans="1:10" x14ac:dyDescent="0.25">
      <c r="A291" s="6" t="s">
        <v>1788</v>
      </c>
      <c r="B291" s="6" t="s">
        <v>18</v>
      </c>
      <c r="C291" s="2" t="s">
        <v>1634</v>
      </c>
      <c r="D291" s="2" t="s">
        <v>89</v>
      </c>
      <c r="E291" s="2" t="s">
        <v>1635</v>
      </c>
      <c r="F291" s="2" t="s">
        <v>1636</v>
      </c>
      <c r="G291" s="2" t="s">
        <v>1637</v>
      </c>
      <c r="H291" s="2" t="s">
        <v>1638</v>
      </c>
      <c r="J291" s="7" t="s">
        <v>22</v>
      </c>
    </row>
    <row r="292" spans="1:10" x14ac:dyDescent="0.25">
      <c r="A292" s="6" t="s">
        <v>1788</v>
      </c>
      <c r="B292" s="6" t="s">
        <v>19</v>
      </c>
      <c r="C292" s="2" t="s">
        <v>1639</v>
      </c>
      <c r="D292" s="2" t="s">
        <v>1640</v>
      </c>
      <c r="E292" s="2" t="s">
        <v>1641</v>
      </c>
      <c r="F292" s="2" t="s">
        <v>1642</v>
      </c>
      <c r="G292" s="2" t="s">
        <v>1643</v>
      </c>
      <c r="H292" s="2" t="s">
        <v>89</v>
      </c>
      <c r="J292" s="7" t="s">
        <v>11</v>
      </c>
    </row>
    <row r="293" spans="1:10" x14ac:dyDescent="0.25">
      <c r="A293" s="6" t="s">
        <v>1788</v>
      </c>
      <c r="B293" s="6" t="s">
        <v>21</v>
      </c>
      <c r="C293" s="2" t="s">
        <v>1644</v>
      </c>
      <c r="D293" s="2" t="s">
        <v>1645</v>
      </c>
      <c r="E293" s="2" t="s">
        <v>1646</v>
      </c>
      <c r="F293" s="2" t="s">
        <v>1647</v>
      </c>
      <c r="G293" s="2" t="s">
        <v>1648</v>
      </c>
      <c r="H293" s="2" t="s">
        <v>89</v>
      </c>
      <c r="J293" s="7" t="s">
        <v>17</v>
      </c>
    </row>
    <row r="294" spans="1:10" x14ac:dyDescent="0.25">
      <c r="A294" s="6" t="s">
        <v>1788</v>
      </c>
      <c r="B294" s="6" t="s">
        <v>23</v>
      </c>
      <c r="C294" s="2" t="s">
        <v>1649</v>
      </c>
      <c r="D294" s="2" t="s">
        <v>89</v>
      </c>
      <c r="E294" s="2" t="s">
        <v>1650</v>
      </c>
      <c r="F294" s="2" t="s">
        <v>1651</v>
      </c>
      <c r="G294" s="2" t="s">
        <v>1652</v>
      </c>
      <c r="H294" s="2" t="s">
        <v>1653</v>
      </c>
      <c r="J294" s="7" t="s">
        <v>20</v>
      </c>
    </row>
    <row r="295" spans="1:10" x14ac:dyDescent="0.25">
      <c r="A295" s="6" t="s">
        <v>1788</v>
      </c>
      <c r="B295" s="6" t="s">
        <v>24</v>
      </c>
      <c r="C295" s="2" t="s">
        <v>1654</v>
      </c>
      <c r="D295" s="2" t="s">
        <v>469</v>
      </c>
      <c r="E295" s="2" t="s">
        <v>471</v>
      </c>
      <c r="F295" s="2" t="s">
        <v>1655</v>
      </c>
      <c r="G295" s="2" t="s">
        <v>1656</v>
      </c>
      <c r="H295" s="2" t="s">
        <v>89</v>
      </c>
      <c r="J295" s="7" t="s">
        <v>11</v>
      </c>
    </row>
    <row r="296" spans="1:10" x14ac:dyDescent="0.25">
      <c r="A296" s="6" t="s">
        <v>1788</v>
      </c>
      <c r="B296" s="6" t="s">
        <v>25</v>
      </c>
      <c r="C296" s="2" t="s">
        <v>1657</v>
      </c>
      <c r="D296" s="2" t="s">
        <v>1658</v>
      </c>
      <c r="E296" s="2" t="s">
        <v>1134</v>
      </c>
      <c r="F296" s="2" t="s">
        <v>89</v>
      </c>
      <c r="G296" s="2" t="s">
        <v>1659</v>
      </c>
      <c r="H296" s="2" t="s">
        <v>1660</v>
      </c>
      <c r="J296" s="7" t="s">
        <v>11</v>
      </c>
    </row>
    <row r="297" spans="1:10" x14ac:dyDescent="0.25">
      <c r="A297" s="6" t="s">
        <v>1788</v>
      </c>
      <c r="B297" s="6" t="s">
        <v>26</v>
      </c>
      <c r="C297" s="2" t="s">
        <v>1661</v>
      </c>
      <c r="D297" s="2" t="s">
        <v>1662</v>
      </c>
      <c r="E297" s="2" t="s">
        <v>1663</v>
      </c>
      <c r="F297" s="2" t="s">
        <v>1664</v>
      </c>
      <c r="G297" s="2" t="s">
        <v>1665</v>
      </c>
      <c r="H297" s="2" t="s">
        <v>1666</v>
      </c>
      <c r="J297" s="7" t="s">
        <v>20</v>
      </c>
    </row>
    <row r="298" spans="1:10" x14ac:dyDescent="0.25">
      <c r="A298" s="6" t="s">
        <v>1788</v>
      </c>
      <c r="B298" s="6" t="s">
        <v>27</v>
      </c>
      <c r="C298" s="2" t="s">
        <v>1667</v>
      </c>
      <c r="D298" s="2" t="s">
        <v>1668</v>
      </c>
      <c r="E298" s="2" t="s">
        <v>1669</v>
      </c>
      <c r="F298" s="2" t="s">
        <v>1670</v>
      </c>
      <c r="G298" s="2" t="s">
        <v>1671</v>
      </c>
      <c r="H298" s="2" t="s">
        <v>1672</v>
      </c>
      <c r="J298" s="7" t="s">
        <v>13</v>
      </c>
    </row>
    <row r="299" spans="1:10" x14ac:dyDescent="0.25">
      <c r="A299" s="6" t="s">
        <v>1788</v>
      </c>
      <c r="B299" s="6" t="s">
        <v>28</v>
      </c>
      <c r="C299" s="2" t="s">
        <v>1673</v>
      </c>
      <c r="D299" s="2" t="s">
        <v>1674</v>
      </c>
      <c r="E299" s="2" t="s">
        <v>89</v>
      </c>
      <c r="F299" s="2" t="s">
        <v>1675</v>
      </c>
      <c r="G299" s="2" t="s">
        <v>1676</v>
      </c>
      <c r="H299" s="2" t="s">
        <v>1677</v>
      </c>
      <c r="J299" s="7" t="s">
        <v>13</v>
      </c>
    </row>
    <row r="300" spans="1:10" x14ac:dyDescent="0.25">
      <c r="A300" s="6" t="s">
        <v>1788</v>
      </c>
      <c r="B300" s="6" t="s">
        <v>29</v>
      </c>
      <c r="C300" s="2" t="s">
        <v>1678</v>
      </c>
      <c r="D300" s="2" t="s">
        <v>1679</v>
      </c>
      <c r="E300" s="2" t="s">
        <v>1680</v>
      </c>
      <c r="F300" s="2" t="s">
        <v>1681</v>
      </c>
      <c r="G300" s="2" t="s">
        <v>89</v>
      </c>
      <c r="H300" s="2" t="s">
        <v>1682</v>
      </c>
      <c r="J300" s="7" t="s">
        <v>20</v>
      </c>
    </row>
    <row r="301" spans="1:10" x14ac:dyDescent="0.25">
      <c r="A301" s="6" t="s">
        <v>1788</v>
      </c>
      <c r="B301" s="6" t="s">
        <v>30</v>
      </c>
      <c r="C301" s="2" t="s">
        <v>1683</v>
      </c>
      <c r="D301" s="2" t="s">
        <v>1684</v>
      </c>
      <c r="E301" s="2" t="s">
        <v>1685</v>
      </c>
      <c r="F301" s="2" t="s">
        <v>1686</v>
      </c>
      <c r="G301" s="2" t="s">
        <v>89</v>
      </c>
      <c r="H301" s="2" t="s">
        <v>1687</v>
      </c>
      <c r="J301" s="7" t="s">
        <v>11</v>
      </c>
    </row>
    <row r="302" spans="1:10" x14ac:dyDescent="0.25">
      <c r="A302" s="6" t="s">
        <v>1788</v>
      </c>
      <c r="B302" s="6" t="s">
        <v>31</v>
      </c>
      <c r="C302" s="2" t="s">
        <v>1688</v>
      </c>
      <c r="D302" s="2" t="s">
        <v>1689</v>
      </c>
      <c r="E302" s="2" t="s">
        <v>89</v>
      </c>
      <c r="F302" s="2" t="s">
        <v>1690</v>
      </c>
      <c r="G302" s="2" t="s">
        <v>1691</v>
      </c>
      <c r="H302" s="2" t="s">
        <v>1692</v>
      </c>
      <c r="J302" s="7" t="s">
        <v>13</v>
      </c>
    </row>
    <row r="303" spans="1:10" x14ac:dyDescent="0.25">
      <c r="A303" s="6" t="s">
        <v>1788</v>
      </c>
      <c r="B303" s="6" t="s">
        <v>32</v>
      </c>
      <c r="C303" s="2" t="s">
        <v>1693</v>
      </c>
      <c r="D303" s="2" t="s">
        <v>1694</v>
      </c>
      <c r="E303" s="2" t="s">
        <v>1695</v>
      </c>
      <c r="F303" s="2" t="s">
        <v>89</v>
      </c>
      <c r="G303" s="2" t="s">
        <v>1696</v>
      </c>
      <c r="H303" s="2" t="s">
        <v>1697</v>
      </c>
      <c r="J303" s="7" t="s">
        <v>22</v>
      </c>
    </row>
    <row r="304" spans="1:10" x14ac:dyDescent="0.25">
      <c r="A304" s="6" t="s">
        <v>1788</v>
      </c>
      <c r="B304" s="6" t="s">
        <v>33</v>
      </c>
      <c r="C304" s="2" t="s">
        <v>1698</v>
      </c>
      <c r="D304" s="2" t="s">
        <v>1699</v>
      </c>
      <c r="E304" s="2" t="s">
        <v>1700</v>
      </c>
      <c r="F304" s="2" t="s">
        <v>89</v>
      </c>
      <c r="G304" s="2" t="s">
        <v>1701</v>
      </c>
      <c r="H304" s="2" t="s">
        <v>424</v>
      </c>
      <c r="J304" s="7" t="s">
        <v>22</v>
      </c>
    </row>
    <row r="305" spans="1:10" x14ac:dyDescent="0.25">
      <c r="A305" s="6" t="s">
        <v>1788</v>
      </c>
      <c r="B305" s="6" t="s">
        <v>34</v>
      </c>
      <c r="C305" s="2" t="s">
        <v>1702</v>
      </c>
      <c r="D305" s="2" t="s">
        <v>89</v>
      </c>
      <c r="E305" s="2" t="s">
        <v>1703</v>
      </c>
      <c r="F305" s="2" t="s">
        <v>1704</v>
      </c>
      <c r="G305" s="2" t="s">
        <v>1705</v>
      </c>
      <c r="H305" s="2" t="s">
        <v>1706</v>
      </c>
      <c r="J305" s="7" t="s">
        <v>22</v>
      </c>
    </row>
    <row r="306" spans="1:10" x14ac:dyDescent="0.25">
      <c r="A306" s="6" t="s">
        <v>1789</v>
      </c>
      <c r="B306" s="6" t="s">
        <v>10</v>
      </c>
      <c r="C306" s="2" t="s">
        <v>1707</v>
      </c>
      <c r="D306" s="2" t="s">
        <v>1708</v>
      </c>
      <c r="E306" s="2" t="s">
        <v>1709</v>
      </c>
      <c r="F306" s="2" t="s">
        <v>1710</v>
      </c>
      <c r="G306" s="2" t="s">
        <v>1711</v>
      </c>
      <c r="H306" s="2" t="s">
        <v>89</v>
      </c>
      <c r="J306" s="7" t="s">
        <v>11</v>
      </c>
    </row>
    <row r="307" spans="1:10" x14ac:dyDescent="0.25">
      <c r="A307" s="6" t="s">
        <v>1789</v>
      </c>
      <c r="B307" s="6" t="s">
        <v>12</v>
      </c>
      <c r="C307" s="2" t="s">
        <v>1712</v>
      </c>
      <c r="D307" s="2" t="s">
        <v>1713</v>
      </c>
      <c r="E307" s="2" t="s">
        <v>1714</v>
      </c>
      <c r="F307" s="2" t="s">
        <v>1715</v>
      </c>
      <c r="G307" s="2" t="s">
        <v>1716</v>
      </c>
      <c r="H307" s="2" t="s">
        <v>1717</v>
      </c>
      <c r="J307" s="7" t="s">
        <v>11</v>
      </c>
    </row>
    <row r="308" spans="1:10" x14ac:dyDescent="0.25">
      <c r="A308" s="6" t="s">
        <v>1789</v>
      </c>
      <c r="B308" s="6" t="s">
        <v>14</v>
      </c>
      <c r="C308" s="2" t="s">
        <v>1718</v>
      </c>
      <c r="D308" s="2" t="s">
        <v>1719</v>
      </c>
      <c r="E308" s="2" t="s">
        <v>1720</v>
      </c>
      <c r="F308" s="2" t="s">
        <v>1721</v>
      </c>
      <c r="G308" s="2" t="s">
        <v>1722</v>
      </c>
      <c r="H308" s="2" t="s">
        <v>1723</v>
      </c>
      <c r="J308" s="7" t="s">
        <v>17</v>
      </c>
    </row>
    <row r="309" spans="1:10" x14ac:dyDescent="0.25">
      <c r="A309" s="6" t="s">
        <v>1789</v>
      </c>
      <c r="B309" s="6" t="s">
        <v>15</v>
      </c>
      <c r="C309" s="2" t="s">
        <v>1724</v>
      </c>
      <c r="D309" s="2" t="s">
        <v>1725</v>
      </c>
      <c r="E309" s="2" t="s">
        <v>1726</v>
      </c>
      <c r="F309" s="2" t="s">
        <v>89</v>
      </c>
      <c r="G309" s="2" t="s">
        <v>1727</v>
      </c>
      <c r="H309" s="2" t="s">
        <v>1728</v>
      </c>
      <c r="J309" s="7" t="s">
        <v>11</v>
      </c>
    </row>
    <row r="310" spans="1:10" x14ac:dyDescent="0.25">
      <c r="A310" s="6" t="s">
        <v>1789</v>
      </c>
      <c r="B310" s="6" t="s">
        <v>16</v>
      </c>
      <c r="C310" s="2" t="s">
        <v>1729</v>
      </c>
      <c r="D310" s="2" t="s">
        <v>1730</v>
      </c>
      <c r="E310" s="2" t="s">
        <v>89</v>
      </c>
      <c r="F310" s="2" t="s">
        <v>1731</v>
      </c>
      <c r="G310" s="2" t="s">
        <v>1732</v>
      </c>
      <c r="H310" s="2" t="s">
        <v>1733</v>
      </c>
      <c r="J310" s="7" t="s">
        <v>13</v>
      </c>
    </row>
    <row r="311" spans="1:10" x14ac:dyDescent="0.25">
      <c r="A311" s="6" t="s">
        <v>1789</v>
      </c>
      <c r="B311" s="6" t="s">
        <v>18</v>
      </c>
      <c r="C311" s="2" t="s">
        <v>1734</v>
      </c>
      <c r="D311" s="2" t="s">
        <v>745</v>
      </c>
      <c r="E311" s="2" t="s">
        <v>1735</v>
      </c>
      <c r="F311" s="2" t="s">
        <v>89</v>
      </c>
      <c r="G311" s="2" t="s">
        <v>1736</v>
      </c>
      <c r="H311" s="2" t="s">
        <v>1737</v>
      </c>
      <c r="J311" s="7" t="s">
        <v>22</v>
      </c>
    </row>
    <row r="312" spans="1:10" x14ac:dyDescent="0.25">
      <c r="A312" s="6" t="s">
        <v>1789</v>
      </c>
      <c r="B312" s="6" t="s">
        <v>19</v>
      </c>
      <c r="C312" s="2" t="s">
        <v>1738</v>
      </c>
      <c r="D312" s="2" t="s">
        <v>1739</v>
      </c>
      <c r="E312" s="2" t="s">
        <v>140</v>
      </c>
      <c r="F312" s="2" t="s">
        <v>1740</v>
      </c>
      <c r="G312" s="2" t="s">
        <v>89</v>
      </c>
      <c r="H312" s="2" t="s">
        <v>1741</v>
      </c>
      <c r="J312" s="7" t="s">
        <v>22</v>
      </c>
    </row>
    <row r="313" spans="1:10" x14ac:dyDescent="0.25">
      <c r="A313" s="6" t="s">
        <v>1789</v>
      </c>
      <c r="B313" s="6" t="s">
        <v>21</v>
      </c>
      <c r="C313" s="2" t="s">
        <v>1742</v>
      </c>
      <c r="D313" s="2" t="s">
        <v>1293</v>
      </c>
      <c r="E313" s="2" t="s">
        <v>1292</v>
      </c>
      <c r="F313" s="2" t="s">
        <v>89</v>
      </c>
      <c r="G313" s="2" t="s">
        <v>1295</v>
      </c>
      <c r="H313" s="2" t="s">
        <v>1294</v>
      </c>
      <c r="J313" s="7" t="s">
        <v>11</v>
      </c>
    </row>
    <row r="314" spans="1:10" x14ac:dyDescent="0.25">
      <c r="A314" s="6" t="s">
        <v>1789</v>
      </c>
      <c r="B314" s="6" t="s">
        <v>23</v>
      </c>
      <c r="C314" s="2" t="s">
        <v>1743</v>
      </c>
      <c r="D314" s="2" t="s">
        <v>1744</v>
      </c>
      <c r="E314" s="2" t="s">
        <v>1745</v>
      </c>
      <c r="F314" s="2" t="s">
        <v>1746</v>
      </c>
      <c r="G314" s="2" t="s">
        <v>1747</v>
      </c>
      <c r="H314" s="2" t="s">
        <v>1748</v>
      </c>
      <c r="J314" s="7" t="s">
        <v>13</v>
      </c>
    </row>
    <row r="315" spans="1:10" x14ac:dyDescent="0.25">
      <c r="A315" s="6" t="s">
        <v>1789</v>
      </c>
      <c r="B315" s="6" t="s">
        <v>24</v>
      </c>
      <c r="C315" s="2" t="s">
        <v>1749</v>
      </c>
      <c r="D315" s="2" t="s">
        <v>620</v>
      </c>
      <c r="E315" s="2" t="s">
        <v>618</v>
      </c>
      <c r="F315" s="2" t="s">
        <v>89</v>
      </c>
      <c r="G315" s="2" t="s">
        <v>1750</v>
      </c>
      <c r="H315" s="2" t="s">
        <v>619</v>
      </c>
      <c r="J315" s="7" t="s">
        <v>13</v>
      </c>
    </row>
    <row r="316" spans="1:10" x14ac:dyDescent="0.25">
      <c r="A316" s="6" t="s">
        <v>1789</v>
      </c>
      <c r="B316" s="6" t="s">
        <v>25</v>
      </c>
      <c r="C316" s="2" t="s">
        <v>1751</v>
      </c>
      <c r="D316" s="2" t="s">
        <v>1752</v>
      </c>
      <c r="E316" s="2" t="s">
        <v>89</v>
      </c>
      <c r="F316" s="2" t="s">
        <v>1753</v>
      </c>
      <c r="G316" s="2" t="s">
        <v>1754</v>
      </c>
      <c r="H316" s="2" t="s">
        <v>1755</v>
      </c>
      <c r="J316" s="7" t="s">
        <v>17</v>
      </c>
    </row>
    <row r="317" spans="1:10" x14ac:dyDescent="0.25">
      <c r="A317" s="6" t="s">
        <v>1789</v>
      </c>
      <c r="B317" s="6" t="s">
        <v>26</v>
      </c>
      <c r="C317" s="2" t="s">
        <v>1756</v>
      </c>
      <c r="D317" s="2" t="s">
        <v>1757</v>
      </c>
      <c r="E317" s="2" t="s">
        <v>89</v>
      </c>
      <c r="F317" s="2" t="s">
        <v>1758</v>
      </c>
      <c r="G317" s="2" t="s">
        <v>1759</v>
      </c>
      <c r="H317" s="2" t="s">
        <v>1760</v>
      </c>
      <c r="J317" s="7" t="s">
        <v>13</v>
      </c>
    </row>
    <row r="318" spans="1:10" x14ac:dyDescent="0.25">
      <c r="A318" s="6" t="s">
        <v>1789</v>
      </c>
      <c r="B318" s="6" t="s">
        <v>27</v>
      </c>
      <c r="C318" s="2" t="s">
        <v>1761</v>
      </c>
      <c r="D318" s="2" t="s">
        <v>1762</v>
      </c>
      <c r="E318" s="2" t="s">
        <v>1763</v>
      </c>
      <c r="F318" s="2" t="s">
        <v>89</v>
      </c>
      <c r="G318" s="2" t="s">
        <v>1764</v>
      </c>
      <c r="H318" s="2" t="s">
        <v>1765</v>
      </c>
      <c r="J318" s="7" t="s">
        <v>13</v>
      </c>
    </row>
    <row r="319" spans="1:10" x14ac:dyDescent="0.25">
      <c r="A319" s="6" t="s">
        <v>1789</v>
      </c>
      <c r="B319" s="6" t="s">
        <v>28</v>
      </c>
      <c r="C319" s="2" t="s">
        <v>1766</v>
      </c>
      <c r="D319" s="2" t="s">
        <v>1767</v>
      </c>
      <c r="E319" s="2" t="s">
        <v>89</v>
      </c>
      <c r="F319" s="2" t="s">
        <v>1768</v>
      </c>
      <c r="G319" s="2" t="s">
        <v>1769</v>
      </c>
      <c r="H319" s="2" t="s">
        <v>1770</v>
      </c>
      <c r="J319" s="7" t="s">
        <v>22</v>
      </c>
    </row>
    <row r="320" spans="1:10" x14ac:dyDescent="0.25">
      <c r="A320" s="6" t="s">
        <v>1789</v>
      </c>
      <c r="B320" s="6" t="s">
        <v>29</v>
      </c>
      <c r="C320" s="2" t="s">
        <v>1771</v>
      </c>
      <c r="D320" s="2" t="s">
        <v>1772</v>
      </c>
      <c r="E320" s="2" t="s">
        <v>1773</v>
      </c>
      <c r="F320" s="2" t="s">
        <v>1774</v>
      </c>
      <c r="G320" s="2" t="s">
        <v>1775</v>
      </c>
      <c r="H320" s="2" t="s">
        <v>89</v>
      </c>
      <c r="J320" s="7" t="s">
        <v>13</v>
      </c>
    </row>
    <row r="321" spans="1:10" x14ac:dyDescent="0.25">
      <c r="A321" s="6" t="s">
        <v>1789</v>
      </c>
      <c r="B321" s="6" t="s">
        <v>30</v>
      </c>
      <c r="C321" s="2" t="s">
        <v>1776</v>
      </c>
      <c r="D321" s="2" t="s">
        <v>859</v>
      </c>
      <c r="E321" s="2" t="s">
        <v>89</v>
      </c>
      <c r="F321" s="2" t="s">
        <v>857</v>
      </c>
      <c r="G321" s="2" t="s">
        <v>856</v>
      </c>
      <c r="H321" s="2" t="s">
        <v>1777</v>
      </c>
      <c r="J321" s="7" t="s">
        <v>22</v>
      </c>
    </row>
    <row r="322" spans="1:10" x14ac:dyDescent="0.25">
      <c r="A322" s="6" t="s">
        <v>1789</v>
      </c>
      <c r="B322" s="6" t="s">
        <v>31</v>
      </c>
      <c r="C322" s="2" t="s">
        <v>1778</v>
      </c>
      <c r="D322" s="2" t="s">
        <v>1779</v>
      </c>
      <c r="E322" s="2" t="s">
        <v>1780</v>
      </c>
      <c r="F322" s="2" t="s">
        <v>89</v>
      </c>
      <c r="G322" s="2" t="s">
        <v>1781</v>
      </c>
      <c r="H322" s="2" t="s">
        <v>1782</v>
      </c>
      <c r="J322" s="7" t="s">
        <v>11</v>
      </c>
    </row>
    <row r="323" spans="1:10" x14ac:dyDescent="0.25">
      <c r="A323" s="6" t="s">
        <v>1789</v>
      </c>
      <c r="B323" s="6" t="s">
        <v>32</v>
      </c>
      <c r="C323" s="2" t="s">
        <v>1783</v>
      </c>
      <c r="D323" s="2" t="s">
        <v>1784</v>
      </c>
      <c r="E323" s="2" t="s">
        <v>1785</v>
      </c>
      <c r="F323" s="2" t="s">
        <v>1786</v>
      </c>
      <c r="G323" s="2" t="s">
        <v>1787</v>
      </c>
      <c r="H323" s="2" t="s">
        <v>89</v>
      </c>
      <c r="J323" s="7" t="s">
        <v>17</v>
      </c>
    </row>
    <row r="324" spans="1:10" x14ac:dyDescent="0.25">
      <c r="A324" s="6" t="s">
        <v>1789</v>
      </c>
      <c r="B324" s="20" t="s">
        <v>33</v>
      </c>
      <c r="C324" s="2" t="s">
        <v>523</v>
      </c>
      <c r="D324" s="2" t="s">
        <v>524</v>
      </c>
      <c r="E324" s="2" t="s">
        <v>525</v>
      </c>
      <c r="F324" s="2" t="s">
        <v>526</v>
      </c>
      <c r="G324" s="2" t="s">
        <v>527</v>
      </c>
      <c r="J324" s="7" t="s">
        <v>20</v>
      </c>
    </row>
    <row r="325" spans="1:10" x14ac:dyDescent="0.25">
      <c r="A325" s="6" t="s">
        <v>1789</v>
      </c>
      <c r="B325" s="20" t="s">
        <v>34</v>
      </c>
      <c r="C325" s="2" t="s">
        <v>548</v>
      </c>
      <c r="D325" s="2" t="s">
        <v>549</v>
      </c>
      <c r="E325" s="2" t="s">
        <v>550</v>
      </c>
      <c r="F325" s="2" t="s">
        <v>551</v>
      </c>
      <c r="G325" s="2" t="s">
        <v>552</v>
      </c>
      <c r="H325" s="2" t="s">
        <v>89</v>
      </c>
      <c r="J325" s="7" t="s">
        <v>17</v>
      </c>
    </row>
  </sheetData>
  <autoFilter ref="A1:J325" xr:uid="{00000000-0001-0000-0000-000000000000}"/>
  <phoneticPr fontId="7" type="noConversion"/>
  <conditionalFormatting sqref="D1:D1048576">
    <cfRule type="expression" dxfId="6" priority="6">
      <formula>$J1="A"</formula>
    </cfRule>
  </conditionalFormatting>
  <conditionalFormatting sqref="E1:E1048576">
    <cfRule type="expression" dxfId="5" priority="5">
      <formula>$J1="B"</formula>
    </cfRule>
  </conditionalFormatting>
  <conditionalFormatting sqref="F1:F1048576">
    <cfRule type="expression" dxfId="4" priority="4">
      <formula>$J1="C"</formula>
    </cfRule>
  </conditionalFormatting>
  <conditionalFormatting sqref="G1:G1048576">
    <cfRule type="expression" dxfId="3" priority="3">
      <formula>$J1="D"</formula>
    </cfRule>
  </conditionalFormatting>
  <conditionalFormatting sqref="H1:H1048576">
    <cfRule type="expression" dxfId="2" priority="2">
      <formula>$J1="E"</formula>
    </cfRule>
  </conditionalFormatting>
  <conditionalFormatting sqref="I1:I1048576">
    <cfRule type="expression" dxfId="1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F1002"/>
  <sheetViews>
    <sheetView workbookViewId="0"/>
  </sheetViews>
  <sheetFormatPr baseColWidth="10" defaultColWidth="14.42578125" defaultRowHeight="15" customHeight="1" x14ac:dyDescent="0.25"/>
  <cols>
    <col min="1" max="1" width="13.140625" style="16" customWidth="1"/>
    <col min="2" max="2" width="54.140625" style="16" customWidth="1"/>
    <col min="3" max="3" width="20.85546875" style="16" customWidth="1"/>
    <col min="4" max="6" width="14.42578125" style="16" customWidth="1"/>
    <col min="7" max="16384" width="14.42578125" style="16"/>
  </cols>
  <sheetData>
    <row r="1" spans="1:6" x14ac:dyDescent="0.25">
      <c r="A1" s="17" t="s">
        <v>0</v>
      </c>
      <c r="B1" s="17" t="s">
        <v>239</v>
      </c>
      <c r="C1" s="18" t="s">
        <v>1544</v>
      </c>
      <c r="D1" s="18" t="s">
        <v>1472</v>
      </c>
    </row>
    <row r="2" spans="1:6" ht="14.25" x14ac:dyDescent="0.25">
      <c r="A2" s="16" t="s">
        <v>1534</v>
      </c>
      <c r="B2" s="16" t="str">
        <f>F2 &amp; " (" &amp; D2 &amp; " questions)"</f>
        <v>Module secourisme (0 questions)</v>
      </c>
      <c r="D2" s="16">
        <f>COUNTIF(Liste_Questions!$A:$A,$A2)</f>
        <v>0</v>
      </c>
      <c r="E2" s="16">
        <f>COUNTIF(Liste_Questions!$C:$C,"["&amp;LEFT($A2,4)&amp;"]*")</f>
        <v>0</v>
      </c>
      <c r="F2" s="16" t="s">
        <v>240</v>
      </c>
    </row>
    <row r="3" spans="1:6" ht="14.25" x14ac:dyDescent="0.25">
      <c r="A3" s="16" t="s">
        <v>1526</v>
      </c>
      <c r="B3" s="16" t="str">
        <f t="shared" ref="B3:B18" si="0">F3 &amp; " (" &amp; D3 &amp; " questions)"</f>
        <v>Module environnement juridique (20 questions)</v>
      </c>
      <c r="C3" s="16" t="s">
        <v>1474</v>
      </c>
      <c r="D3" s="16">
        <f>COUNTIF(Liste_Questions!$A:$A,$A3)</f>
        <v>20</v>
      </c>
      <c r="E3" s="16">
        <f>COUNTIF(Liste_Questions!$C:$C,"["&amp;LEFT($A3,4)&amp;"]*")</f>
        <v>23</v>
      </c>
      <c r="F3" s="16" t="s">
        <v>241</v>
      </c>
    </row>
    <row r="4" spans="1:6" ht="14.25" x14ac:dyDescent="0.25">
      <c r="A4" s="16" t="s">
        <v>1527</v>
      </c>
      <c r="B4" s="16" t="str">
        <f t="shared" si="0"/>
        <v>Module environnement juridique (17 questions)</v>
      </c>
      <c r="C4" s="16" t="s">
        <v>1474</v>
      </c>
      <c r="D4" s="16">
        <f>COUNTIF(Liste_Questions!$A:$A,$A4)</f>
        <v>17</v>
      </c>
      <c r="E4" s="16">
        <f>COUNTIF(Liste_Questions!$C:$C,"["&amp;LEFT($A4,4)&amp;"]*")</f>
        <v>23</v>
      </c>
      <c r="F4" s="16" t="s">
        <v>241</v>
      </c>
    </row>
    <row r="5" spans="1:6" ht="14.25" x14ac:dyDescent="0.25">
      <c r="A5" s="16" t="s">
        <v>1528</v>
      </c>
      <c r="B5" s="16" t="str">
        <f t="shared" si="0"/>
        <v>Module gestion des conflits (10 questions)</v>
      </c>
      <c r="C5" s="16" t="s">
        <v>1477</v>
      </c>
      <c r="D5" s="16">
        <f>COUNTIF(Liste_Questions!$A:$A,$A5)</f>
        <v>10</v>
      </c>
      <c r="E5" s="16">
        <f>COUNTIF(Liste_Questions!$C:$C,"["&amp;LEFT($A5,4)&amp;"]*")</f>
        <v>3</v>
      </c>
      <c r="F5" s="16" t="s">
        <v>242</v>
      </c>
    </row>
    <row r="6" spans="1:6" ht="14.25" x14ac:dyDescent="0.25">
      <c r="A6" s="16" t="s">
        <v>1529</v>
      </c>
      <c r="B6" s="16" t="str">
        <f t="shared" si="0"/>
        <v>Module stratégique (16 questions)</v>
      </c>
      <c r="C6" s="16" t="s">
        <v>1543</v>
      </c>
      <c r="D6" s="16">
        <f>COUNTIF(Liste_Questions!$A:$A,$A6)</f>
        <v>16</v>
      </c>
      <c r="E6" s="16">
        <f>COUNTIF(Liste_Questions!$C:$C,"["&amp;LEFT($A6,4)&amp;"]*")</f>
        <v>2</v>
      </c>
      <c r="F6" s="16" t="s">
        <v>243</v>
      </c>
    </row>
    <row r="7" spans="1:6" ht="14.25" x14ac:dyDescent="0.25">
      <c r="A7" s="16" t="s">
        <v>1531</v>
      </c>
      <c r="B7" s="16" t="str">
        <f t="shared" si="0"/>
        <v>Module prévention des risques d’incendie (25 questions)</v>
      </c>
      <c r="C7" s="16" t="s">
        <v>1475</v>
      </c>
      <c r="D7" s="16">
        <f>COUNTIF(Liste_Questions!$A:$A,$A7)</f>
        <v>25</v>
      </c>
      <c r="E7" s="16">
        <f>COUNTIF(Liste_Questions!$C:$C,"["&amp;LEFT($A7,4)&amp;"]*")</f>
        <v>1</v>
      </c>
      <c r="F7" s="16" t="s">
        <v>244</v>
      </c>
    </row>
    <row r="8" spans="1:6" ht="14.25" x14ac:dyDescent="0.25">
      <c r="A8" s="16" t="s">
        <v>1532</v>
      </c>
      <c r="B8" s="16" t="str">
        <f t="shared" si="0"/>
        <v>Module prévention des risques d’incendie (25 questions)</v>
      </c>
      <c r="C8" s="16" t="s">
        <v>1475</v>
      </c>
      <c r="D8" s="16">
        <f>COUNTIF(Liste_Questions!$A:$A,$A8)</f>
        <v>25</v>
      </c>
      <c r="E8" s="16">
        <f>COUNTIF(Liste_Questions!$C:$C,"["&amp;LEFT($A8,4)&amp;"]*")</f>
        <v>1</v>
      </c>
      <c r="F8" s="16" t="s">
        <v>244</v>
      </c>
    </row>
    <row r="9" spans="1:6" ht="14.25" x14ac:dyDescent="0.25">
      <c r="A9" s="16" t="s">
        <v>1535</v>
      </c>
      <c r="B9" s="16" t="str">
        <f t="shared" si="0"/>
        <v>Module d’appréhension au cours de l’exercice du métier (0 questions)</v>
      </c>
      <c r="C9" s="16" t="s">
        <v>1539</v>
      </c>
      <c r="D9" s="16">
        <f>COUNTIF(Liste_Questions!$A:$A,$A9)</f>
        <v>0</v>
      </c>
      <c r="E9" s="16">
        <f>COUNTIF(Liste_Questions!$C:$C,"["&amp;LEFT($A9,4)&amp;"]*")</f>
        <v>4</v>
      </c>
      <c r="F9" s="16" t="s">
        <v>245</v>
      </c>
    </row>
    <row r="10" spans="1:6" ht="14.25" x14ac:dyDescent="0.25">
      <c r="A10" s="16" t="s">
        <v>1536</v>
      </c>
      <c r="B10" s="16" t="str">
        <f t="shared" si="0"/>
        <v>Module sensibilisation aux risques terroristes, réagir face à une attaque, secourir (0 questions)</v>
      </c>
      <c r="C10" s="16" t="s">
        <v>1473</v>
      </c>
      <c r="D10" s="16">
        <f>COUNTIF(Liste_Questions!$A:$A,$A10)</f>
        <v>0</v>
      </c>
      <c r="E10" s="16">
        <f>COUNTIF(Liste_Questions!$C:$C,"["&amp;LEFT($A10,4)&amp;"]*")</f>
        <v>17</v>
      </c>
      <c r="F10" s="16" t="s">
        <v>246</v>
      </c>
    </row>
    <row r="11" spans="1:6" ht="14.25" x14ac:dyDescent="0.25">
      <c r="A11" s="16" t="s">
        <v>1530</v>
      </c>
      <c r="B11" s="16" t="str">
        <f t="shared" si="0"/>
        <v>Module professionnel (12 questions)</v>
      </c>
      <c r="C11" s="16" t="s">
        <v>1476</v>
      </c>
      <c r="D11" s="16">
        <f>COUNTIF(Liste_Questions!$A:$A,$A11)</f>
        <v>12</v>
      </c>
      <c r="E11" s="16">
        <f>COUNTIF(Liste_Questions!$C:$C,"["&amp;LEFT($A11,4)&amp;"]*")</f>
        <v>16</v>
      </c>
      <c r="F11" s="16" t="s">
        <v>247</v>
      </c>
    </row>
    <row r="12" spans="1:6" ht="14.25" x14ac:dyDescent="0.25">
      <c r="A12" s="16" t="s">
        <v>1533</v>
      </c>
      <c r="B12" s="16" t="str">
        <f t="shared" si="0"/>
        <v>Module palpation de sécurité et inspection des bagages (8 questions)</v>
      </c>
      <c r="C12" s="16" t="s">
        <v>1537</v>
      </c>
      <c r="D12" s="16">
        <f>COUNTIF(Liste_Questions!$A:$A,$A12)</f>
        <v>8</v>
      </c>
      <c r="E12" s="16">
        <f>COUNTIF(Liste_Questions!$C:$C,"["&amp;LEFT($A12,4)&amp;"]*")</f>
        <v>13</v>
      </c>
      <c r="F12" s="16" t="s">
        <v>248</v>
      </c>
    </row>
    <row r="13" spans="1:6" ht="14.25" x14ac:dyDescent="0.25">
      <c r="A13" s="16" t="s">
        <v>249</v>
      </c>
      <c r="B13" s="16" t="str">
        <f t="shared" si="0"/>
        <v>Module surveillance par moyens électroniques de sécurité (20 questions)</v>
      </c>
      <c r="C13" s="16" t="s">
        <v>1541</v>
      </c>
      <c r="D13" s="16">
        <f>COUNTIF(Liste_Questions!$A:$A,$A13)</f>
        <v>20</v>
      </c>
      <c r="E13" s="16">
        <f>COUNTIF(Liste_Questions!$C:$C,"["&amp;LEFT($A13,4)&amp;"]*")</f>
        <v>5</v>
      </c>
      <c r="F13" s="16" t="s">
        <v>250</v>
      </c>
    </row>
    <row r="14" spans="1:6" ht="14.25" x14ac:dyDescent="0.25">
      <c r="A14" s="16" t="s">
        <v>251</v>
      </c>
      <c r="B14" s="16" t="str">
        <f t="shared" si="0"/>
        <v>Module gestion des risques (23 questions)</v>
      </c>
      <c r="C14" s="16" t="s">
        <v>1540</v>
      </c>
      <c r="D14" s="16">
        <f>COUNTIF(Liste_Questions!$A:$A,$A14)</f>
        <v>23</v>
      </c>
      <c r="E14" s="16">
        <f>COUNTIF(Liste_Questions!$C:$C,"["&amp;LEFT($A14,4)&amp;"]*")</f>
        <v>13</v>
      </c>
      <c r="F14" s="16" t="s">
        <v>252</v>
      </c>
    </row>
    <row r="15" spans="1:6" ht="14.25" x14ac:dyDescent="0.25">
      <c r="A15" s="16" t="s">
        <v>253</v>
      </c>
      <c r="B15" s="16" t="str">
        <f t="shared" si="0"/>
        <v>Module événementiel spécifique (10 questions)</v>
      </c>
      <c r="C15" s="16" t="s">
        <v>1542</v>
      </c>
      <c r="D15" s="16">
        <f>COUNTIF(Liste_Questions!$A:$A,$A15)</f>
        <v>10</v>
      </c>
      <c r="E15" s="16">
        <f>COUNTIF(Liste_Questions!$C:$C,"["&amp;LEFT($A15,4)&amp;"]*")</f>
        <v>13</v>
      </c>
      <c r="F15" s="16" t="s">
        <v>254</v>
      </c>
    </row>
    <row r="16" spans="1:6" ht="14.25" x14ac:dyDescent="0.25">
      <c r="A16" s="16" t="s">
        <v>255</v>
      </c>
      <c r="B16" s="16" t="str">
        <f t="shared" si="0"/>
        <v>Module gestion des situations conflictuelles (0 questions)</v>
      </c>
      <c r="D16" s="16">
        <f>COUNTIF(Liste_Questions!$A:$A,$A16)</f>
        <v>0</v>
      </c>
      <c r="E16" s="16">
        <f>COUNTIF(Liste_Questions!$C:$C,"["&amp;LEFT($A16,4)&amp;"]*")</f>
        <v>0</v>
      </c>
      <c r="F16" s="16" t="s">
        <v>256</v>
      </c>
    </row>
    <row r="17" spans="1:6" ht="14.25" x14ac:dyDescent="0.25">
      <c r="A17" s="16" t="s">
        <v>257</v>
      </c>
      <c r="B17" s="16" t="str">
        <f t="shared" si="0"/>
        <v>Module industriel spécifique (18 questions)</v>
      </c>
      <c r="C17" s="16" t="s">
        <v>1538</v>
      </c>
      <c r="D17" s="16">
        <f>COUNTIF(Liste_Questions!$A:$A,$A17)</f>
        <v>18</v>
      </c>
      <c r="E17" s="16">
        <f>COUNTIF(Liste_Questions!$C:$C,"["&amp;LEFT($A17,4)&amp;"]*")</f>
        <v>7</v>
      </c>
      <c r="F17" s="16" t="s">
        <v>258</v>
      </c>
    </row>
    <row r="18" spans="1:6" ht="14.25" x14ac:dyDescent="0.25">
      <c r="A18" s="16" t="s">
        <v>259</v>
      </c>
      <c r="B18" s="16" t="str">
        <f t="shared" si="0"/>
        <v>Mise en situation pratique sur un contexte professionnel tiré au sort par le candidat (0 questions)</v>
      </c>
      <c r="D18" s="16">
        <f>COUNTIF(Liste_Questions!$A:$A,$A18)</f>
        <v>0</v>
      </c>
      <c r="E18" s="16">
        <f>COUNTIF(Liste_Questions!$C:$C,"["&amp;LEFT($A18,4)&amp;"]*")</f>
        <v>0</v>
      </c>
      <c r="F18" s="16" t="s">
        <v>260</v>
      </c>
    </row>
    <row r="19" spans="1:6" ht="15" customHeight="1" x14ac:dyDescent="0.25">
      <c r="A19" s="16" t="s">
        <v>1458</v>
      </c>
      <c r="B19" s="16" t="s">
        <v>1790</v>
      </c>
      <c r="D19" s="16">
        <f>COUNTIF(Liste_Questions!$A:$A,$A19)</f>
        <v>20</v>
      </c>
    </row>
    <row r="20" spans="1:6" ht="15" customHeight="1" x14ac:dyDescent="0.25">
      <c r="A20" s="16" t="s">
        <v>1459</v>
      </c>
      <c r="B20" s="16" t="s">
        <v>1790</v>
      </c>
      <c r="D20" s="16">
        <f>COUNTIF(Liste_Questions!$A:$A,$A20)</f>
        <v>20</v>
      </c>
    </row>
    <row r="21" spans="1:6" ht="15" customHeight="1" x14ac:dyDescent="0.25">
      <c r="A21" s="16" t="s">
        <v>1460</v>
      </c>
      <c r="B21" s="16" t="s">
        <v>1790</v>
      </c>
      <c r="D21" s="16">
        <f>COUNTIF(Liste_Questions!$A:$A,$A21)</f>
        <v>20</v>
      </c>
    </row>
    <row r="22" spans="1:6" ht="15" customHeight="1" x14ac:dyDescent="0.25">
      <c r="A22" s="16" t="s">
        <v>1461</v>
      </c>
      <c r="B22" s="16" t="s">
        <v>1790</v>
      </c>
      <c r="D22" s="16">
        <f>COUNTIF(Liste_Questions!$A:$A,$A22)</f>
        <v>20</v>
      </c>
    </row>
    <row r="23" spans="1:6" ht="15.75" customHeight="1" x14ac:dyDescent="0.25">
      <c r="A23" s="16" t="s">
        <v>1788</v>
      </c>
      <c r="B23" s="16" t="s">
        <v>1790</v>
      </c>
      <c r="D23" s="16">
        <f>COUNTIF(Liste_Questions!$A:$A,$A23)</f>
        <v>20</v>
      </c>
    </row>
    <row r="24" spans="1:6" ht="15.75" customHeight="1" x14ac:dyDescent="0.25">
      <c r="A24" s="16" t="s">
        <v>1789</v>
      </c>
      <c r="B24" s="16" t="s">
        <v>1790</v>
      </c>
      <c r="D24" s="16">
        <f>COUNTIF(Liste_Questions!$A:$A,$A24)</f>
        <v>20</v>
      </c>
    </row>
    <row r="25" spans="1:6" ht="15.75" customHeight="1" x14ac:dyDescent="0.25"/>
    <row r="26" spans="1:6" ht="15.75" customHeight="1" x14ac:dyDescent="0.25"/>
    <row r="27" spans="1:6" ht="15.75" customHeight="1" x14ac:dyDescent="0.25"/>
    <row r="28" spans="1:6" ht="15.75" customHeight="1" x14ac:dyDescent="0.25"/>
    <row r="29" spans="1:6" ht="15.75" customHeight="1" x14ac:dyDescent="0.25"/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58"/>
  <sheetViews>
    <sheetView topLeftCell="A204" workbookViewId="0">
      <selection activeCell="D257" sqref="D216:J257"/>
    </sheetView>
  </sheetViews>
  <sheetFormatPr baseColWidth="10" defaultRowHeight="15" x14ac:dyDescent="0.25"/>
  <cols>
    <col min="1" max="1" width="34.140625" customWidth="1"/>
    <col min="2" max="2" width="11.42578125" style="13"/>
    <col min="3" max="3" width="33.140625" style="13" customWidth="1"/>
  </cols>
  <sheetData>
    <row r="1" spans="1:9" x14ac:dyDescent="0.25">
      <c r="A1" s="3" t="s">
        <v>261</v>
      </c>
      <c r="B1" s="13">
        <f t="shared" ref="B1:B10" si="0">FIND(" - ",A1)</f>
        <v>2</v>
      </c>
      <c r="C1" s="13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3" t="s">
        <v>262</v>
      </c>
      <c r="B2" s="13">
        <f t="shared" si="0"/>
        <v>2</v>
      </c>
      <c r="C2" s="13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3" t="s">
        <v>263</v>
      </c>
      <c r="B3" s="13">
        <f t="shared" si="0"/>
        <v>2</v>
      </c>
      <c r="C3" s="13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3" t="s">
        <v>264</v>
      </c>
      <c r="B4" s="13">
        <f t="shared" si="0"/>
        <v>2</v>
      </c>
      <c r="C4" s="13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3" t="s">
        <v>265</v>
      </c>
      <c r="B5" s="13">
        <f t="shared" si="0"/>
        <v>2</v>
      </c>
      <c r="C5" s="13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3" t="s">
        <v>266</v>
      </c>
      <c r="B6" s="13">
        <f t="shared" si="0"/>
        <v>2</v>
      </c>
      <c r="C6" s="13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3" t="s">
        <v>267</v>
      </c>
      <c r="B7" s="13">
        <f t="shared" si="0"/>
        <v>2</v>
      </c>
      <c r="C7" s="13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3" t="s">
        <v>268</v>
      </c>
      <c r="B8" s="13">
        <f t="shared" si="0"/>
        <v>2</v>
      </c>
      <c r="C8" s="13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3" t="s">
        <v>269</v>
      </c>
      <c r="B9" s="13">
        <f t="shared" si="0"/>
        <v>2</v>
      </c>
      <c r="C9" s="13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3" t="s">
        <v>270</v>
      </c>
      <c r="B10" s="13">
        <f t="shared" si="0"/>
        <v>3</v>
      </c>
      <c r="C10" s="13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3" t="e">
        <f t="shared" ref="B11:B41" si="2">FIND(" - ",A11)</f>
        <v>#VALUE!</v>
      </c>
      <c r="C11" s="13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8" t="s">
        <v>321</v>
      </c>
      <c r="B12" s="13">
        <f t="shared" si="2"/>
        <v>2</v>
      </c>
      <c r="C12" s="13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9" t="s">
        <v>322</v>
      </c>
      <c r="B13" s="13">
        <f t="shared" si="2"/>
        <v>2</v>
      </c>
      <c r="C13" s="13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9" t="s">
        <v>323</v>
      </c>
      <c r="B14" s="13">
        <f t="shared" si="2"/>
        <v>2</v>
      </c>
      <c r="C14" s="13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9" t="s">
        <v>324</v>
      </c>
      <c r="B15" s="13">
        <f t="shared" si="2"/>
        <v>2</v>
      </c>
      <c r="C15" s="13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9" t="s">
        <v>325</v>
      </c>
      <c r="B16" s="13">
        <f t="shared" si="2"/>
        <v>2</v>
      </c>
      <c r="C16" s="13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9" t="s">
        <v>326</v>
      </c>
      <c r="B17" s="13">
        <f t="shared" si="2"/>
        <v>2</v>
      </c>
      <c r="C17" s="13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9" t="s">
        <v>327</v>
      </c>
      <c r="B18" s="13">
        <f t="shared" si="2"/>
        <v>2</v>
      </c>
      <c r="C18" s="13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9" t="s">
        <v>328</v>
      </c>
      <c r="B19" s="13">
        <f t="shared" si="2"/>
        <v>2</v>
      </c>
      <c r="C19" s="13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9" t="s">
        <v>329</v>
      </c>
      <c r="B20" s="13">
        <f t="shared" si="2"/>
        <v>2</v>
      </c>
      <c r="C20" s="13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9" t="s">
        <v>330</v>
      </c>
      <c r="B21" s="13">
        <f t="shared" si="2"/>
        <v>2</v>
      </c>
      <c r="C21" s="13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9" t="s">
        <v>331</v>
      </c>
      <c r="B22" s="13">
        <f t="shared" si="2"/>
        <v>3</v>
      </c>
      <c r="C22" s="13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9" t="s">
        <v>332</v>
      </c>
      <c r="B23" s="13">
        <f t="shared" si="2"/>
        <v>3</v>
      </c>
      <c r="C23" s="13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9" t="s">
        <v>333</v>
      </c>
      <c r="B24" s="13">
        <f t="shared" si="2"/>
        <v>3</v>
      </c>
      <c r="C24" s="13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9" t="s">
        <v>334</v>
      </c>
      <c r="B25" s="13">
        <f t="shared" si="2"/>
        <v>3</v>
      </c>
      <c r="C25" s="13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9" t="s">
        <v>335</v>
      </c>
      <c r="B26" s="13">
        <f t="shared" si="2"/>
        <v>3</v>
      </c>
      <c r="C26" s="13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9" t="s">
        <v>336</v>
      </c>
      <c r="B27" s="13">
        <f t="shared" si="2"/>
        <v>3</v>
      </c>
      <c r="C27" s="13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9" t="s">
        <v>337</v>
      </c>
      <c r="B28" s="13">
        <f t="shared" si="2"/>
        <v>3</v>
      </c>
      <c r="C28" s="13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3" t="e">
        <f t="shared" si="2"/>
        <v>#VALUE!</v>
      </c>
      <c r="C29" s="13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3" t="s">
        <v>411</v>
      </c>
      <c r="B30" s="13">
        <f t="shared" si="2"/>
        <v>10</v>
      </c>
      <c r="C30" s="13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3" t="s">
        <v>412</v>
      </c>
      <c r="B31" s="13">
        <f t="shared" si="2"/>
        <v>10</v>
      </c>
      <c r="C31" s="13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3" t="s">
        <v>413</v>
      </c>
      <c r="B32" s="13">
        <f t="shared" si="2"/>
        <v>10</v>
      </c>
      <c r="C32" s="13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3" t="s">
        <v>414</v>
      </c>
      <c r="B33" s="13">
        <f t="shared" si="2"/>
        <v>10</v>
      </c>
      <c r="C33" s="13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3" t="s">
        <v>415</v>
      </c>
      <c r="B34" s="13">
        <f t="shared" si="2"/>
        <v>10</v>
      </c>
      <c r="C34" s="13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3" t="s">
        <v>416</v>
      </c>
      <c r="B35" s="13">
        <f t="shared" si="2"/>
        <v>10</v>
      </c>
      <c r="C35" s="13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3" t="s">
        <v>417</v>
      </c>
      <c r="B36" s="13">
        <f t="shared" si="2"/>
        <v>10</v>
      </c>
      <c r="C36" s="13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3" t="s">
        <v>418</v>
      </c>
      <c r="B37" s="13">
        <f t="shared" si="2"/>
        <v>10</v>
      </c>
      <c r="C37" s="13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3" t="s">
        <v>419</v>
      </c>
      <c r="B38" s="13">
        <f t="shared" si="2"/>
        <v>10</v>
      </c>
      <c r="C38" s="13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3" t="s">
        <v>420</v>
      </c>
      <c r="B39" s="13">
        <f t="shared" si="2"/>
        <v>11</v>
      </c>
      <c r="C39" s="13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3" t="s">
        <v>421</v>
      </c>
      <c r="B40" s="13">
        <f t="shared" si="2"/>
        <v>11</v>
      </c>
      <c r="C40" s="13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3" t="s">
        <v>422</v>
      </c>
      <c r="B41" s="13">
        <f t="shared" si="2"/>
        <v>11</v>
      </c>
      <c r="C41" s="13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3" t="e">
        <f t="shared" ref="B42" si="5">FIND(" - ",A42)</f>
        <v>#VALUE!</v>
      </c>
      <c r="C42" s="13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0" t="s">
        <v>483</v>
      </c>
      <c r="B43" s="13">
        <f>FIND(" – ",A43)</f>
        <v>2</v>
      </c>
      <c r="C43" s="13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0" t="s">
        <v>484</v>
      </c>
      <c r="B44" s="13">
        <f t="shared" ref="B44:B82" si="7">FIND(" – ",A44)</f>
        <v>2</v>
      </c>
      <c r="C44" s="13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0" t="s">
        <v>485</v>
      </c>
      <c r="B45" s="13">
        <f t="shared" si="7"/>
        <v>2</v>
      </c>
      <c r="C45" s="13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0" t="s">
        <v>486</v>
      </c>
      <c r="B46" s="13">
        <f t="shared" si="7"/>
        <v>2</v>
      </c>
      <c r="C46" s="13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0" t="s">
        <v>487</v>
      </c>
      <c r="B47" s="13">
        <f t="shared" si="7"/>
        <v>2</v>
      </c>
      <c r="C47" s="13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0" t="s">
        <v>488</v>
      </c>
      <c r="B48" s="13">
        <f t="shared" si="7"/>
        <v>2</v>
      </c>
      <c r="C48" s="13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0" t="s">
        <v>489</v>
      </c>
      <c r="B49" s="13">
        <f t="shared" si="7"/>
        <v>2</v>
      </c>
      <c r="C49" s="13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0" t="s">
        <v>490</v>
      </c>
      <c r="B50" s="13">
        <f t="shared" si="7"/>
        <v>2</v>
      </c>
      <c r="C50" s="13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0" t="s">
        <v>491</v>
      </c>
      <c r="B51" s="13">
        <f t="shared" si="7"/>
        <v>2</v>
      </c>
      <c r="C51" s="13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0" t="s">
        <v>492</v>
      </c>
      <c r="B52" s="13">
        <f t="shared" si="7"/>
        <v>3</v>
      </c>
      <c r="C52" s="13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0" t="s">
        <v>493</v>
      </c>
      <c r="B53" s="13">
        <f t="shared" si="7"/>
        <v>3</v>
      </c>
      <c r="C53" s="13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0" t="s">
        <v>494</v>
      </c>
      <c r="B54" s="13">
        <f t="shared" si="7"/>
        <v>3</v>
      </c>
      <c r="C54" s="13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0" t="s">
        <v>495</v>
      </c>
      <c r="B55" s="13">
        <f t="shared" si="7"/>
        <v>3</v>
      </c>
      <c r="C55" s="13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0" t="s">
        <v>496</v>
      </c>
      <c r="B56" s="13">
        <f t="shared" si="7"/>
        <v>3</v>
      </c>
      <c r="C56" s="13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0" t="s">
        <v>497</v>
      </c>
      <c r="B57" s="13">
        <f t="shared" si="7"/>
        <v>3</v>
      </c>
      <c r="C57" s="13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0" t="s">
        <v>498</v>
      </c>
      <c r="B58" s="13">
        <f t="shared" si="7"/>
        <v>3</v>
      </c>
      <c r="C58" s="13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0" t="s">
        <v>499</v>
      </c>
      <c r="B59" s="13">
        <f t="shared" si="7"/>
        <v>3</v>
      </c>
      <c r="C59" s="13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0" t="s">
        <v>500</v>
      </c>
      <c r="B60" s="13">
        <f t="shared" si="7"/>
        <v>3</v>
      </c>
      <c r="C60" s="13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0" t="s">
        <v>501</v>
      </c>
      <c r="B61" s="13">
        <f t="shared" si="7"/>
        <v>3</v>
      </c>
      <c r="C61" s="13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0" t="s">
        <v>502</v>
      </c>
      <c r="B62" s="13">
        <f t="shared" si="7"/>
        <v>3</v>
      </c>
      <c r="C62" s="13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0" t="s">
        <v>503</v>
      </c>
      <c r="B63" s="13">
        <f t="shared" si="7"/>
        <v>3</v>
      </c>
      <c r="C63" s="13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0" t="s">
        <v>504</v>
      </c>
      <c r="B64" s="13">
        <f t="shared" si="7"/>
        <v>3</v>
      </c>
      <c r="C64" s="13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0" t="s">
        <v>505</v>
      </c>
      <c r="B65" s="13">
        <f t="shared" si="7"/>
        <v>3</v>
      </c>
      <c r="C65" s="13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0" t="s">
        <v>506</v>
      </c>
      <c r="B66" s="13">
        <f t="shared" si="7"/>
        <v>3</v>
      </c>
      <c r="C66" s="13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0" t="s">
        <v>507</v>
      </c>
      <c r="B67" s="13">
        <f t="shared" si="7"/>
        <v>3</v>
      </c>
      <c r="C67" s="13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0" t="s">
        <v>508</v>
      </c>
      <c r="B68" s="13">
        <f t="shared" si="7"/>
        <v>3</v>
      </c>
      <c r="C68" s="13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0" t="s">
        <v>509</v>
      </c>
      <c r="B69" s="13">
        <f t="shared" si="7"/>
        <v>3</v>
      </c>
      <c r="C69" s="13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0" t="s">
        <v>510</v>
      </c>
      <c r="B70" s="13">
        <f t="shared" si="7"/>
        <v>3</v>
      </c>
      <c r="C70" s="13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0" t="s">
        <v>511</v>
      </c>
      <c r="B71" s="13">
        <f t="shared" si="7"/>
        <v>3</v>
      </c>
      <c r="C71" s="13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0" t="s">
        <v>512</v>
      </c>
      <c r="B72" s="13">
        <f t="shared" si="7"/>
        <v>3</v>
      </c>
      <c r="C72" s="13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0" t="s">
        <v>513</v>
      </c>
      <c r="B73" s="13">
        <f t="shared" si="7"/>
        <v>3</v>
      </c>
      <c r="C73" s="13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0" t="s">
        <v>514</v>
      </c>
      <c r="B74" s="13">
        <f t="shared" si="7"/>
        <v>3</v>
      </c>
      <c r="C74" s="13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0" t="s">
        <v>515</v>
      </c>
      <c r="B75" s="13">
        <f t="shared" si="7"/>
        <v>3</v>
      </c>
      <c r="C75" s="13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0" t="s">
        <v>516</v>
      </c>
      <c r="B76" s="13">
        <f t="shared" si="7"/>
        <v>3</v>
      </c>
      <c r="C76" s="13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0" t="s">
        <v>517</v>
      </c>
      <c r="B77" s="13">
        <f t="shared" si="7"/>
        <v>3</v>
      </c>
      <c r="C77" s="13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0" t="s">
        <v>518</v>
      </c>
      <c r="B78" s="13">
        <f t="shared" si="7"/>
        <v>3</v>
      </c>
      <c r="C78" s="13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0" t="s">
        <v>519</v>
      </c>
      <c r="B79" s="13">
        <f t="shared" si="7"/>
        <v>3</v>
      </c>
      <c r="C79" s="13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0" t="s">
        <v>520</v>
      </c>
      <c r="B80" s="13">
        <f t="shared" si="7"/>
        <v>3</v>
      </c>
      <c r="C80" s="13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0" t="s">
        <v>521</v>
      </c>
      <c r="B81" s="13">
        <f t="shared" si="7"/>
        <v>3</v>
      </c>
      <c r="C81" s="13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0" t="s">
        <v>522</v>
      </c>
      <c r="B82" s="13">
        <f t="shared" si="7"/>
        <v>3</v>
      </c>
      <c r="C82" s="13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1"/>
    </row>
    <row r="84" spans="1:9" x14ac:dyDescent="0.25">
      <c r="A84" s="12" t="s">
        <v>706</v>
      </c>
      <c r="B84" s="13">
        <f t="shared" ref="B84:B91" si="8">FIND(" – ",A84)</f>
        <v>2</v>
      </c>
      <c r="C84" s="13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2" t="s">
        <v>707</v>
      </c>
      <c r="B85" s="13">
        <f t="shared" si="8"/>
        <v>2</v>
      </c>
      <c r="C85" s="13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2" t="s">
        <v>708</v>
      </c>
      <c r="B86" s="13">
        <f t="shared" si="8"/>
        <v>2</v>
      </c>
      <c r="C86" s="13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2" t="s">
        <v>709</v>
      </c>
      <c r="B87" s="13">
        <f t="shared" si="8"/>
        <v>2</v>
      </c>
      <c r="C87" s="13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2" t="s">
        <v>710</v>
      </c>
      <c r="B88" s="13">
        <f t="shared" si="8"/>
        <v>2</v>
      </c>
      <c r="C88" s="13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2" t="s">
        <v>711</v>
      </c>
      <c r="B89" s="13">
        <f t="shared" si="8"/>
        <v>2</v>
      </c>
      <c r="C89" s="13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2" t="s">
        <v>712</v>
      </c>
      <c r="B90" s="13">
        <f t="shared" si="8"/>
        <v>2</v>
      </c>
      <c r="C90" s="13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2" t="s">
        <v>713</v>
      </c>
      <c r="B91" s="13">
        <f t="shared" si="8"/>
        <v>2</v>
      </c>
      <c r="C91" s="13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3" t="s">
        <v>754</v>
      </c>
      <c r="B93" s="13">
        <f t="shared" ref="B93:B106" si="10">FIND(" - ",A93)</f>
        <v>10</v>
      </c>
      <c r="C93" s="13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3" t="s">
        <v>755</v>
      </c>
      <c r="B94" s="13">
        <f t="shared" si="10"/>
        <v>10</v>
      </c>
      <c r="C94" s="13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3" t="s">
        <v>756</v>
      </c>
      <c r="B95" s="13">
        <f t="shared" si="10"/>
        <v>10</v>
      </c>
      <c r="C95" s="13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3" t="s">
        <v>757</v>
      </c>
      <c r="B96" s="13">
        <f t="shared" si="10"/>
        <v>10</v>
      </c>
      <c r="C96" s="13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3" t="s">
        <v>758</v>
      </c>
      <c r="B97" s="13">
        <f t="shared" si="10"/>
        <v>10</v>
      </c>
      <c r="C97" s="13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3" t="s">
        <v>759</v>
      </c>
      <c r="B98" s="13">
        <f t="shared" si="10"/>
        <v>10</v>
      </c>
      <c r="C98" s="13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3" t="s">
        <v>760</v>
      </c>
      <c r="B99" s="13">
        <f t="shared" si="10"/>
        <v>10</v>
      </c>
      <c r="C99" s="13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3" t="s">
        <v>761</v>
      </c>
      <c r="B100" s="13">
        <f t="shared" si="10"/>
        <v>10</v>
      </c>
      <c r="C100" s="13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3" t="s">
        <v>762</v>
      </c>
      <c r="B101" s="13">
        <f t="shared" si="10"/>
        <v>10</v>
      </c>
      <c r="C101" s="13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3" t="s">
        <v>763</v>
      </c>
      <c r="B102" s="13">
        <f t="shared" si="10"/>
        <v>11</v>
      </c>
      <c r="C102" s="13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3" t="s">
        <v>764</v>
      </c>
      <c r="B103" s="13">
        <f t="shared" si="10"/>
        <v>11</v>
      </c>
      <c r="C103" s="13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3" t="s">
        <v>765</v>
      </c>
      <c r="B104" s="13">
        <f t="shared" si="10"/>
        <v>11</v>
      </c>
      <c r="C104" s="13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3" t="s">
        <v>766</v>
      </c>
      <c r="B105" s="13">
        <f t="shared" si="10"/>
        <v>11</v>
      </c>
      <c r="C105" s="13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3" t="s">
        <v>767</v>
      </c>
      <c r="B106" s="13">
        <f t="shared" si="10"/>
        <v>11</v>
      </c>
      <c r="C106" s="13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3" t="s">
        <v>768</v>
      </c>
      <c r="B107" s="13">
        <f t="shared" ref="B107:B112" si="12">FIND(" - ",A107)</f>
        <v>11</v>
      </c>
      <c r="C107" s="13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3" t="s">
        <v>769</v>
      </c>
      <c r="B108" s="13">
        <f t="shared" si="12"/>
        <v>11</v>
      </c>
      <c r="C108" s="13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3" t="s">
        <v>770</v>
      </c>
      <c r="B109" s="13">
        <f t="shared" si="12"/>
        <v>11</v>
      </c>
      <c r="C109" s="13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3" t="s">
        <v>771</v>
      </c>
      <c r="B110" s="13">
        <f t="shared" si="12"/>
        <v>11</v>
      </c>
      <c r="C110" s="13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3" t="s">
        <v>772</v>
      </c>
      <c r="B111" s="13">
        <f t="shared" si="12"/>
        <v>11</v>
      </c>
      <c r="C111" s="13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3" t="s">
        <v>773</v>
      </c>
      <c r="B112" s="13">
        <f t="shared" si="12"/>
        <v>11</v>
      </c>
      <c r="C112" s="13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0" t="s">
        <v>875</v>
      </c>
      <c r="B114" s="13">
        <f t="shared" ref="B114:B123" si="14">FIND(" – ",A114)</f>
        <v>2</v>
      </c>
      <c r="C114" s="13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0" t="s">
        <v>876</v>
      </c>
      <c r="B115" s="13">
        <f t="shared" si="14"/>
        <v>2</v>
      </c>
      <c r="C115" s="13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0" t="s">
        <v>877</v>
      </c>
      <c r="B116" s="13">
        <f t="shared" si="14"/>
        <v>2</v>
      </c>
      <c r="C116" s="13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0" t="s">
        <v>878</v>
      </c>
      <c r="B117" s="13">
        <f t="shared" si="14"/>
        <v>2</v>
      </c>
      <c r="C117" s="13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0" t="s">
        <v>879</v>
      </c>
      <c r="B118" s="13">
        <f t="shared" si="14"/>
        <v>2</v>
      </c>
      <c r="C118" s="13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0" t="s">
        <v>880</v>
      </c>
      <c r="B119" s="13">
        <f t="shared" si="14"/>
        <v>2</v>
      </c>
      <c r="C119" s="13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0" t="s">
        <v>881</v>
      </c>
      <c r="B120" s="13">
        <f t="shared" si="14"/>
        <v>2</v>
      </c>
      <c r="C120" s="13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0" t="s">
        <v>882</v>
      </c>
      <c r="B121" s="13">
        <f t="shared" si="14"/>
        <v>2</v>
      </c>
      <c r="C121" s="13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0" t="s">
        <v>883</v>
      </c>
      <c r="B122" s="13">
        <f t="shared" si="14"/>
        <v>2</v>
      </c>
      <c r="C122" s="13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0" t="s">
        <v>884</v>
      </c>
      <c r="B123" s="13">
        <f t="shared" si="14"/>
        <v>3</v>
      </c>
      <c r="C123" s="13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1"/>
    </row>
    <row r="125" spans="1:9" x14ac:dyDescent="0.25">
      <c r="A125" s="3" t="s">
        <v>935</v>
      </c>
      <c r="B125" s="13">
        <f t="shared" ref="B125:B134" si="16">FIND(" – ",A125)</f>
        <v>10</v>
      </c>
      <c r="C125" s="13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3" t="s">
        <v>936</v>
      </c>
      <c r="B126" s="13">
        <f t="shared" si="16"/>
        <v>10</v>
      </c>
      <c r="C126" s="13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3" t="s">
        <v>937</v>
      </c>
      <c r="B127" s="13">
        <f t="shared" si="16"/>
        <v>10</v>
      </c>
      <c r="C127" s="13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3" t="s">
        <v>938</v>
      </c>
      <c r="B128" s="13">
        <f t="shared" si="16"/>
        <v>10</v>
      </c>
      <c r="C128" s="13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3" t="s">
        <v>939</v>
      </c>
      <c r="B129" s="13">
        <f t="shared" si="16"/>
        <v>10</v>
      </c>
      <c r="C129" s="13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3" t="s">
        <v>940</v>
      </c>
      <c r="B130" s="13">
        <f t="shared" si="16"/>
        <v>10</v>
      </c>
      <c r="C130" s="13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3" t="s">
        <v>941</v>
      </c>
      <c r="B131" s="13">
        <f t="shared" si="16"/>
        <v>10</v>
      </c>
      <c r="C131" s="13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3" t="s">
        <v>942</v>
      </c>
      <c r="B132" s="13">
        <f t="shared" si="16"/>
        <v>10</v>
      </c>
      <c r="C132" s="13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3" t="s">
        <v>943</v>
      </c>
      <c r="B133" s="13">
        <f t="shared" si="16"/>
        <v>10</v>
      </c>
      <c r="C133" s="13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3" t="s">
        <v>944</v>
      </c>
      <c r="B134" s="13">
        <f t="shared" si="16"/>
        <v>11</v>
      </c>
      <c r="C134" s="13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3" t="s">
        <v>993</v>
      </c>
      <c r="B136" s="13">
        <f t="shared" ref="B136:B158" si="18">FIND(" – ",A136)</f>
        <v>10</v>
      </c>
      <c r="C136" s="13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3" t="s">
        <v>994</v>
      </c>
      <c r="B137" s="13">
        <f t="shared" si="18"/>
        <v>10</v>
      </c>
      <c r="C137" s="13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3" t="s">
        <v>995</v>
      </c>
      <c r="B138" s="13">
        <f t="shared" si="18"/>
        <v>10</v>
      </c>
      <c r="C138" s="13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3" t="s">
        <v>996</v>
      </c>
      <c r="B139" s="13">
        <f t="shared" si="18"/>
        <v>10</v>
      </c>
      <c r="C139" s="13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3" t="s">
        <v>997</v>
      </c>
      <c r="B140" s="13">
        <f t="shared" si="18"/>
        <v>10</v>
      </c>
      <c r="C140" s="13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3" t="s">
        <v>998</v>
      </c>
      <c r="B141" s="13">
        <f t="shared" si="18"/>
        <v>10</v>
      </c>
      <c r="C141" s="13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3" t="s">
        <v>999</v>
      </c>
      <c r="B142" s="13">
        <f t="shared" si="18"/>
        <v>10</v>
      </c>
      <c r="C142" s="13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3" t="s">
        <v>1000</v>
      </c>
      <c r="B143" s="13">
        <f t="shared" si="18"/>
        <v>10</v>
      </c>
      <c r="C143" s="13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3" t="s">
        <v>1001</v>
      </c>
      <c r="B144" s="13">
        <f t="shared" si="18"/>
        <v>10</v>
      </c>
      <c r="C144" s="13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3" t="s">
        <v>1002</v>
      </c>
      <c r="B145" s="13">
        <f t="shared" si="18"/>
        <v>11</v>
      </c>
      <c r="C145" s="13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3" t="s">
        <v>1003</v>
      </c>
      <c r="B146" s="13">
        <f t="shared" si="18"/>
        <v>11</v>
      </c>
      <c r="C146" s="13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3" t="s">
        <v>1004</v>
      </c>
      <c r="B147" s="13">
        <f t="shared" si="18"/>
        <v>11</v>
      </c>
      <c r="C147" s="13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3" t="s">
        <v>1005</v>
      </c>
      <c r="B148" s="13">
        <f t="shared" si="18"/>
        <v>11</v>
      </c>
      <c r="C148" s="13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3" t="s">
        <v>1006</v>
      </c>
      <c r="B149" s="13">
        <f t="shared" si="18"/>
        <v>11</v>
      </c>
      <c r="C149" s="13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3" t="s">
        <v>1007</v>
      </c>
      <c r="B150" s="13">
        <f t="shared" si="18"/>
        <v>11</v>
      </c>
      <c r="C150" s="13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3" t="s">
        <v>1008</v>
      </c>
      <c r="B151" s="13">
        <f t="shared" si="18"/>
        <v>11</v>
      </c>
      <c r="C151" s="13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3" t="s">
        <v>1009</v>
      </c>
      <c r="B152" s="13">
        <f t="shared" si="18"/>
        <v>11</v>
      </c>
      <c r="C152" s="13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3" t="s">
        <v>1010</v>
      </c>
      <c r="B153" s="13">
        <f t="shared" si="18"/>
        <v>11</v>
      </c>
      <c r="C153" s="13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3" t="s">
        <v>1011</v>
      </c>
      <c r="B154" s="13">
        <f t="shared" si="18"/>
        <v>11</v>
      </c>
      <c r="C154" s="13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3" t="s">
        <v>1012</v>
      </c>
      <c r="B155" s="13">
        <f t="shared" si="18"/>
        <v>11</v>
      </c>
      <c r="C155" s="13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3" t="s">
        <v>1013</v>
      </c>
      <c r="B156" s="13">
        <f t="shared" si="18"/>
        <v>11</v>
      </c>
      <c r="C156" s="13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3" t="s">
        <v>1014</v>
      </c>
      <c r="B157" s="13">
        <f t="shared" si="18"/>
        <v>11</v>
      </c>
      <c r="C157" s="13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3" t="s">
        <v>1015</v>
      </c>
      <c r="B158" s="13">
        <f t="shared" si="18"/>
        <v>11</v>
      </c>
      <c r="C158" s="13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4" t="s">
        <v>1191</v>
      </c>
      <c r="B160" s="13">
        <f t="shared" ref="B160" si="20">FIND(" - ",A160)</f>
        <v>2</v>
      </c>
      <c r="C160" s="13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4" t="s">
        <v>1192</v>
      </c>
      <c r="B161" s="13">
        <f t="shared" ref="B161:B214" si="22">FIND(" - ",A161)</f>
        <v>2</v>
      </c>
      <c r="C161" s="13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4" t="s">
        <v>1193</v>
      </c>
      <c r="B162" s="13">
        <f t="shared" si="22"/>
        <v>2</v>
      </c>
      <c r="C162" s="13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4" t="s">
        <v>1194</v>
      </c>
      <c r="B163" s="13">
        <f t="shared" si="22"/>
        <v>2</v>
      </c>
      <c r="C163" s="13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4" t="s">
        <v>1195</v>
      </c>
      <c r="B164" s="13">
        <f t="shared" si="22"/>
        <v>2</v>
      </c>
      <c r="C164" s="13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4" t="s">
        <v>1196</v>
      </c>
      <c r="B165" s="13">
        <f t="shared" si="22"/>
        <v>2</v>
      </c>
      <c r="C165" s="13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4" t="s">
        <v>1197</v>
      </c>
      <c r="B166" s="13">
        <f t="shared" si="22"/>
        <v>2</v>
      </c>
      <c r="C166" s="13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4" t="s">
        <v>1198</v>
      </c>
      <c r="B167" s="13">
        <f t="shared" si="22"/>
        <v>2</v>
      </c>
      <c r="C167" s="13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4" t="s">
        <v>1199</v>
      </c>
      <c r="B168" s="13">
        <f t="shared" si="22"/>
        <v>2</v>
      </c>
      <c r="C168" s="13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4" t="s">
        <v>1200</v>
      </c>
      <c r="B169" s="13">
        <f t="shared" si="22"/>
        <v>3</v>
      </c>
      <c r="C169" s="13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4" t="s">
        <v>1201</v>
      </c>
      <c r="B170" s="13">
        <f t="shared" si="22"/>
        <v>3</v>
      </c>
      <c r="C170" s="13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4" t="s">
        <v>1202</v>
      </c>
      <c r="B171" s="13">
        <f t="shared" si="22"/>
        <v>3</v>
      </c>
      <c r="C171" s="13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4" t="s">
        <v>1203</v>
      </c>
      <c r="B172" s="13">
        <f t="shared" si="22"/>
        <v>3</v>
      </c>
      <c r="C172" s="13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4" t="s">
        <v>1204</v>
      </c>
      <c r="B173" s="13">
        <f t="shared" si="22"/>
        <v>3</v>
      </c>
      <c r="C173" s="13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4" t="s">
        <v>1205</v>
      </c>
      <c r="B174" s="13">
        <f t="shared" si="22"/>
        <v>3</v>
      </c>
      <c r="C174" s="13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4" t="s">
        <v>1206</v>
      </c>
      <c r="B175" s="13">
        <f t="shared" si="22"/>
        <v>3</v>
      </c>
      <c r="C175" s="13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4" t="s">
        <v>1207</v>
      </c>
      <c r="B176" s="13">
        <f t="shared" si="22"/>
        <v>3</v>
      </c>
      <c r="C176" s="13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4" t="s">
        <v>1208</v>
      </c>
      <c r="B177" s="13">
        <f t="shared" si="22"/>
        <v>3</v>
      </c>
      <c r="C177" s="13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4" t="s">
        <v>1209</v>
      </c>
      <c r="B178" s="13">
        <f t="shared" si="22"/>
        <v>3</v>
      </c>
      <c r="C178" s="13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4" t="s">
        <v>1210</v>
      </c>
      <c r="B179" s="13">
        <f t="shared" si="22"/>
        <v>3</v>
      </c>
      <c r="C179" s="13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4" t="s">
        <v>1211</v>
      </c>
      <c r="B180" s="13">
        <f t="shared" si="22"/>
        <v>3</v>
      </c>
      <c r="C180" s="13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4" t="s">
        <v>1212</v>
      </c>
      <c r="B181" s="13">
        <f t="shared" si="22"/>
        <v>3</v>
      </c>
      <c r="C181" s="13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4" t="s">
        <v>1213</v>
      </c>
      <c r="B182" s="13">
        <f t="shared" si="22"/>
        <v>3</v>
      </c>
      <c r="C182" s="13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4" t="s">
        <v>1214</v>
      </c>
      <c r="B183" s="13">
        <f t="shared" si="22"/>
        <v>3</v>
      </c>
      <c r="C183" s="13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4" t="s">
        <v>1215</v>
      </c>
      <c r="B184" s="13">
        <f t="shared" si="22"/>
        <v>3</v>
      </c>
      <c r="C184" s="13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4" t="s">
        <v>1216</v>
      </c>
      <c r="B185" s="13">
        <f t="shared" si="22"/>
        <v>3</v>
      </c>
      <c r="C185" s="13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4" t="s">
        <v>1217</v>
      </c>
      <c r="B186" s="13">
        <f t="shared" si="22"/>
        <v>3</v>
      </c>
      <c r="C186" s="13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4" t="s">
        <v>1218</v>
      </c>
      <c r="B187" s="13">
        <f t="shared" si="22"/>
        <v>3</v>
      </c>
      <c r="C187" s="13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4" t="s">
        <v>1219</v>
      </c>
      <c r="B188" s="13">
        <f t="shared" si="22"/>
        <v>3</v>
      </c>
      <c r="C188" s="13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4" t="s">
        <v>1220</v>
      </c>
      <c r="B189" s="13">
        <f t="shared" si="22"/>
        <v>3</v>
      </c>
      <c r="C189" s="13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4" t="s">
        <v>1221</v>
      </c>
      <c r="B190" s="13">
        <f t="shared" si="22"/>
        <v>3</v>
      </c>
      <c r="C190" s="13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4" t="s">
        <v>1222</v>
      </c>
      <c r="B191" s="13">
        <f t="shared" si="22"/>
        <v>3</v>
      </c>
      <c r="C191" s="13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4" t="s">
        <v>1223</v>
      </c>
      <c r="B192" s="13">
        <f t="shared" si="22"/>
        <v>3</v>
      </c>
      <c r="C192" s="13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4" t="s">
        <v>1224</v>
      </c>
      <c r="B193" s="13">
        <f t="shared" si="22"/>
        <v>3</v>
      </c>
      <c r="C193" s="13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4" t="s">
        <v>1225</v>
      </c>
      <c r="B194" s="13">
        <f t="shared" si="22"/>
        <v>3</v>
      </c>
      <c r="C194" s="13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4" t="s">
        <v>1226</v>
      </c>
      <c r="B195" s="13">
        <f t="shared" si="22"/>
        <v>3</v>
      </c>
      <c r="C195" s="13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4" t="s">
        <v>1227</v>
      </c>
      <c r="B196" s="13">
        <f t="shared" si="22"/>
        <v>3</v>
      </c>
      <c r="C196" s="13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4" t="s">
        <v>1228</v>
      </c>
      <c r="B197" s="13">
        <f t="shared" si="22"/>
        <v>3</v>
      </c>
      <c r="C197" s="13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4" t="s">
        <v>1229</v>
      </c>
      <c r="B198" s="13">
        <f t="shared" si="22"/>
        <v>3</v>
      </c>
      <c r="C198" s="13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4" t="s">
        <v>1230</v>
      </c>
      <c r="B199" s="13">
        <f t="shared" si="22"/>
        <v>3</v>
      </c>
      <c r="C199" s="13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4" t="s">
        <v>1231</v>
      </c>
      <c r="B200" s="13">
        <f t="shared" si="22"/>
        <v>3</v>
      </c>
      <c r="C200" s="13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4" t="s">
        <v>1232</v>
      </c>
      <c r="B201" s="13">
        <f t="shared" si="22"/>
        <v>3</v>
      </c>
      <c r="C201" s="13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4" t="s">
        <v>1233</v>
      </c>
      <c r="B202" s="13">
        <f t="shared" si="22"/>
        <v>3</v>
      </c>
      <c r="C202" s="13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4" t="s">
        <v>1234</v>
      </c>
      <c r="B203" s="13">
        <f t="shared" si="22"/>
        <v>3</v>
      </c>
      <c r="C203" s="13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4" t="s">
        <v>1235</v>
      </c>
      <c r="B204" s="13">
        <f t="shared" si="22"/>
        <v>3</v>
      </c>
      <c r="C204" s="13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4" t="s">
        <v>1236</v>
      </c>
      <c r="B205" s="13">
        <f t="shared" si="22"/>
        <v>3</v>
      </c>
      <c r="C205" s="13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4" t="s">
        <v>1237</v>
      </c>
      <c r="B206" s="13">
        <f t="shared" si="22"/>
        <v>3</v>
      </c>
      <c r="C206" s="13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4" t="s">
        <v>1238</v>
      </c>
      <c r="B207" s="13">
        <f t="shared" si="22"/>
        <v>3</v>
      </c>
      <c r="C207" s="13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4" t="s">
        <v>1239</v>
      </c>
      <c r="B208" s="13">
        <f t="shared" si="22"/>
        <v>3</v>
      </c>
      <c r="C208" s="13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4" t="s">
        <v>1240</v>
      </c>
      <c r="B209" s="13">
        <f t="shared" si="22"/>
        <v>3</v>
      </c>
      <c r="C209" s="13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4" t="s">
        <v>1241</v>
      </c>
      <c r="B210" s="13">
        <f t="shared" si="22"/>
        <v>3</v>
      </c>
      <c r="C210" s="13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4" t="s">
        <v>1242</v>
      </c>
      <c r="B211" s="13">
        <f t="shared" si="22"/>
        <v>3</v>
      </c>
      <c r="C211" s="13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4" t="s">
        <v>1243</v>
      </c>
      <c r="B212" s="13">
        <f t="shared" si="22"/>
        <v>3</v>
      </c>
      <c r="C212" s="13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4" t="s">
        <v>1244</v>
      </c>
      <c r="B213" s="13">
        <f t="shared" si="22"/>
        <v>3</v>
      </c>
      <c r="C213" s="13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4" t="s">
        <v>1245</v>
      </c>
      <c r="B214" s="13">
        <f t="shared" si="22"/>
        <v>3</v>
      </c>
      <c r="C214" s="13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  <row r="216" spans="1:10" x14ac:dyDescent="0.25">
      <c r="A216" s="19" t="s">
        <v>1545</v>
      </c>
      <c r="B216" s="13">
        <f t="shared" ref="B216:B257" si="24">FIND(" – ",A216)</f>
        <v>2</v>
      </c>
      <c r="C216" s="13" t="str">
        <f t="shared" ref="C216:C257" si="25">RIGHT(A216, LEN(A216)-(B216+2))</f>
        <v>[UV02] Quand peut-on considérer que la captation d’une image revêt un caractère illégal ?|Aucune des réponses est bonne|Quand l’image est fixée sans le consentement d’une personne se trouvant dans un lieu privé|Quand l’image est fixée sans le consentement d’une personne se trouvant dans un lieu public ou privé|Quand l’image est fixée sans le consentement d’une personne se trouvant dans un lieu public|Seul la transmission d’une image peut revêtir un caractère illégal|B</v>
      </c>
      <c r="D216" t="str" cm="1">
        <f t="array" ref="D216:J216">_xlfn.TEXTSPLIT(C216,"|")</f>
        <v>[UV02] Quand peut-on considérer que la captation d’une image revêt un caractère illégal ?</v>
      </c>
      <c r="E216" t="str">
        <v>Aucune des réponses est bonne</v>
      </c>
      <c r="F216" t="str">
        <v>Quand l’image est fixée sans le consentement d’une personne se trouvant dans un lieu privé</v>
      </c>
      <c r="G216" t="str">
        <v>Quand l’image est fixée sans le consentement d’une personne se trouvant dans un lieu public ou privé</v>
      </c>
      <c r="H216" t="str">
        <v>Quand l’image est fixée sans le consentement d’une personne se trouvant dans un lieu public</v>
      </c>
      <c r="I216" t="str">
        <v>Seul la transmission d’une image peut revêtir un caractère illégal</v>
      </c>
      <c r="J216" t="str">
        <v>B</v>
      </c>
    </row>
    <row r="217" spans="1:10" x14ac:dyDescent="0.25">
      <c r="A217" s="19" t="s">
        <v>1546</v>
      </c>
      <c r="B217" s="13">
        <f t="shared" si="24"/>
        <v>2</v>
      </c>
      <c r="C217" s="13" t="str">
        <f t="shared" si="25"/>
        <v>[UV02] Un acte de violence sur autrui ayant entraîné une ITT de plus de 8 jours est une infraction prévue et réprimée par le code pénal. Légalement, comment qualifie-t-on cette infraction et la peine encourue ?|Aucune des autres réponses|Contravention passible d’emprisonnement et d’amende|Délit passible d’emprisonnement et d’amende|Rappel à la loi passible d’emprisonnement et d’amende|Crime passible d’emprisonnement et d’amende|C</v>
      </c>
      <c r="D217" t="str" cm="1">
        <f t="array" ref="D217:J217">_xlfn.TEXTSPLIT(C217,"|")</f>
        <v>[UV02] Un acte de violence sur autrui ayant entraîné une ITT de plus de 8 jours est une infraction prévue et réprimée par le code pénal. Légalement, comment qualifie-t-on cette infraction et la peine encourue ?</v>
      </c>
      <c r="E217" t="str">
        <v>Aucune des autres réponses</v>
      </c>
      <c r="F217" t="str">
        <v>Contravention passible d’emprisonnement et d’amende</v>
      </c>
      <c r="G217" t="str">
        <v>Délit passible d’emprisonnement et d’amende</v>
      </c>
      <c r="H217" t="str">
        <v>Rappel à la loi passible d’emprisonnement et d’amende</v>
      </c>
      <c r="I217" t="str">
        <v>Crime passible d’emprisonnement et d’amende</v>
      </c>
      <c r="J217" t="str">
        <v>C</v>
      </c>
    </row>
    <row r="218" spans="1:10" x14ac:dyDescent="0.25">
      <c r="A218" s="19" t="s">
        <v>1547</v>
      </c>
      <c r="B218" s="13">
        <f t="shared" si="24"/>
        <v>2</v>
      </c>
      <c r="C218" s="13" t="str">
        <f t="shared" si="25"/>
        <v>[UV07] La première équipe spécialisée dans les interventions anti-terroristes est présente dans le but :|D’évacuer les blessés|De secourir les victimes|De prendre des photographies de la scène pour récupérer un maximum de preuves|Aucune des autres réponses|De neutraliser les tireurs actifs|E</v>
      </c>
      <c r="D218" t="str" cm="1">
        <f t="array" ref="D218:J218">_xlfn.TEXTSPLIT(C218,"|")</f>
        <v>[UV07] La première équipe spécialisée dans les interventions anti-terroristes est présente dans le but :</v>
      </c>
      <c r="E218" t="str">
        <v>D’évacuer les blessés</v>
      </c>
      <c r="F218" t="str">
        <v>De secourir les victimes</v>
      </c>
      <c r="G218" t="str">
        <v>De prendre des photographies de la scène pour récupérer un maximum de preuves</v>
      </c>
      <c r="H218" t="str">
        <v>Aucune des autres réponses</v>
      </c>
      <c r="I218" t="str">
        <v>De neutraliser les tireurs actifs</v>
      </c>
      <c r="J218" t="str">
        <v>E</v>
      </c>
    </row>
    <row r="219" spans="1:10" x14ac:dyDescent="0.25">
      <c r="A219" s="19" t="s">
        <v>1548</v>
      </c>
      <c r="B219" s="13">
        <f t="shared" si="24"/>
        <v>2</v>
      </c>
      <c r="C219" s="13" t="str">
        <f t="shared" si="25"/>
        <v>[UV02] Quel est le bon ordre d’importance des textes suivants ?|Constitution, Décret, Loi, Circulaire, Arrêté|Constitution, Loi, Décret, Arrêté, Circulaire|Arrêté, Décret, Constitution, Arrêté, Loi|Loi, Circulaire, Arrêté, Décret, Constitution|Loi, Décret, Constitution, Circulaire, Arrêté|B</v>
      </c>
      <c r="D219" t="str" cm="1">
        <f t="array" ref="D219:J219">_xlfn.TEXTSPLIT(C219,"|")</f>
        <v>[UV02] Quel est le bon ordre d’importance des textes suivants ?</v>
      </c>
      <c r="E219" t="str">
        <v>Constitution, Décret, Loi, Circulaire, Arrêté</v>
      </c>
      <c r="F219" t="str">
        <v>Constitution, Loi, Décret, Arrêté, Circulaire</v>
      </c>
      <c r="G219" t="str">
        <v>Arrêté, Décret, Constitution, Arrêté, Loi</v>
      </c>
      <c r="H219" t="str">
        <v>Loi, Circulaire, Arrêté, Décret, Constitution</v>
      </c>
      <c r="I219" t="str">
        <v>Loi, Décret, Constitution, Circulaire, Arrêté</v>
      </c>
      <c r="J219" t="str">
        <v>B</v>
      </c>
    </row>
    <row r="220" spans="1:10" x14ac:dyDescent="0.25">
      <c r="A220" s="19" t="s">
        <v>1549</v>
      </c>
      <c r="B220" s="13">
        <f t="shared" si="24"/>
        <v>2</v>
      </c>
      <c r="C220" s="13" t="str">
        <f t="shared" si="25"/>
        <v>[UV03] Lorsqu’un avantage auquel on tient est menacé, on parle de :|Conflit de Loi|Aucune des autres réponses|Conflit d’intérêt|Conflit d’évaluation|Conflit de génération|C</v>
      </c>
      <c r="D220" t="str" cm="1">
        <f t="array" ref="D220:J220">_xlfn.TEXTSPLIT(C220,"|")</f>
        <v>[UV03] Lorsqu’un avantage auquel on tient est menacé, on parle de :</v>
      </c>
      <c r="E220" t="str">
        <v>Conflit de Loi</v>
      </c>
      <c r="F220" t="str">
        <v>Aucune des autres réponses</v>
      </c>
      <c r="G220" t="str">
        <v>Conflit d’intérêt</v>
      </c>
      <c r="H220" t="str">
        <v>Conflit d’évaluation</v>
      </c>
      <c r="I220" t="str">
        <v>Conflit de génération</v>
      </c>
      <c r="J220" t="str">
        <v>C</v>
      </c>
    </row>
    <row r="221" spans="1:10" x14ac:dyDescent="0.25">
      <c r="A221" s="19" t="s">
        <v>1550</v>
      </c>
      <c r="B221" s="13">
        <f t="shared" si="24"/>
        <v>2</v>
      </c>
      <c r="C221" s="13" t="str">
        <f t="shared" si="25"/>
        <v>[UV09] Les membres du service d’ordre de l’organisateur chargés d’une mission relative aux palpations de sécurité doivent :|Être dispensés du port d’une tenue d’agent de sécurité privée|Porter tous la même tenue mais sans obligation particulière|Être dotés d’un signe distinctif permettant d’identifier leur qualité|Aucune des autres réponses|Porter une tenue qui officialise leur mission en tant que membre des forces de l’ordre|C</v>
      </c>
      <c r="D221" t="str" cm="1">
        <f t="array" ref="D221:J221">_xlfn.TEXTSPLIT(C221,"|")</f>
        <v>[UV09] Les membres du service d’ordre de l’organisateur chargés d’une mission relative aux palpations de sécurité doivent :</v>
      </c>
      <c r="E221" t="str">
        <v>Être dispensés du port d’une tenue d’agent de sécurité privée</v>
      </c>
      <c r="F221" t="str">
        <v>Porter tous la même tenue mais sans obligation particulière</v>
      </c>
      <c r="G221" t="str">
        <v>Être dotés d’un signe distinctif permettant d’identifier leur qualité</v>
      </c>
      <c r="H221" t="str">
        <v>Aucune des autres réponses</v>
      </c>
      <c r="I221" t="str">
        <v>Porter une tenue qui officialise leur mission en tant que membre des forces de l’ordre</v>
      </c>
      <c r="J221" t="str">
        <v>C</v>
      </c>
    </row>
    <row r="222" spans="1:10" x14ac:dyDescent="0.25">
      <c r="A222" s="19" t="s">
        <v>1551</v>
      </c>
      <c r="B222" s="13">
        <f t="shared" si="24"/>
        <v>2</v>
      </c>
      <c r="C222" s="13" t="str">
        <f t="shared" si="25"/>
        <v>[UV09] En cas d’événement récréatif rassemblant plus de 300 personnes, l’agrément de palpation est délivré par :|Aucune des autres réponses|L’OPJ|Le Préfet|Le Maire|La CLAC|A</v>
      </c>
      <c r="D222" t="str" cm="1">
        <f t="array" ref="D222:J222">_xlfn.TEXTSPLIT(C222,"|")</f>
        <v>[UV09] En cas d’événement récréatif rassemblant plus de 300 personnes, l’agrément de palpation est délivré par :</v>
      </c>
      <c r="E222" t="str">
        <v>Aucune des autres réponses</v>
      </c>
      <c r="F222" t="str">
        <v>L’OPJ</v>
      </c>
      <c r="G222" t="str">
        <v>Le Préfet</v>
      </c>
      <c r="H222" t="str">
        <v>Le Maire</v>
      </c>
      <c r="I222" t="str">
        <v>La CLAC</v>
      </c>
      <c r="J222" t="str">
        <v>A</v>
      </c>
    </row>
    <row r="223" spans="1:10" x14ac:dyDescent="0.25">
      <c r="A223" s="19" t="s">
        <v>1552</v>
      </c>
      <c r="B223" s="13">
        <f t="shared" si="24"/>
        <v>2</v>
      </c>
      <c r="C223" s="13" t="str">
        <f t="shared" si="25"/>
        <v>[UV06] Pouvez-vous appréhender un individu en surface de vent ?|Oui, peut-être|Aucune des autres réponses|Oui dans tous les cas|Non, sauf si l’infraction n’a aucun lien avec la vente|Non dans tous les cas|D</v>
      </c>
      <c r="D223" t="str" cm="1">
        <f t="array" ref="D223:J223">_xlfn.TEXTSPLIT(C223,"|")</f>
        <v>[UV06] Pouvez-vous appréhender un individu en surface de vent ?</v>
      </c>
      <c r="E223" t="str">
        <v>Oui, peut-être</v>
      </c>
      <c r="F223" t="str">
        <v>Aucune des autres réponses</v>
      </c>
      <c r="G223" t="str">
        <v>Oui dans tous les cas</v>
      </c>
      <c r="H223" t="str">
        <v>Non, sauf si l’infraction n’a aucun lien avec la vente</v>
      </c>
      <c r="I223" t="str">
        <v>Non dans tous les cas</v>
      </c>
      <c r="J223" t="str">
        <v>D</v>
      </c>
    </row>
    <row r="224" spans="1:10" x14ac:dyDescent="0.25">
      <c r="A224" s="19" t="s">
        <v>1553</v>
      </c>
      <c r="B224" s="13">
        <f t="shared" si="24"/>
        <v>2</v>
      </c>
      <c r="C224" s="13" t="str">
        <f t="shared" si="25"/>
        <v>[UV11] Que devez-vous mettre à disposition comme matériel aux forces de l’ordre lors d’une intervention ?|Tous les éléments nécessaires à leur intervention|Uniquement les clés ou badges d’accès|Uniquement des magnétomètres|Aucune des autres réponses|Uniquement la main courante pour qu’ils puissent y rédiger leur rapport|A</v>
      </c>
      <c r="D224" t="str" cm="1">
        <f t="array" ref="D224:J224">_xlfn.TEXTSPLIT(C224,"|")</f>
        <v>[UV11] Que devez-vous mettre à disposition comme matériel aux forces de l’ordre lors d’une intervention ?</v>
      </c>
      <c r="E224" t="str">
        <v>Tous les éléments nécessaires à leur intervention</v>
      </c>
      <c r="F224" t="str">
        <v>Uniquement les clés ou badges d’accès</v>
      </c>
      <c r="G224" t="str">
        <v>Uniquement des magnétomètres</v>
      </c>
      <c r="H224" t="str">
        <v>Aucune des autres réponses</v>
      </c>
      <c r="I224" t="str">
        <v>Uniquement la main courante pour qu’ils puissent y rédiger leur rapport</v>
      </c>
      <c r="J224" t="str">
        <v>A</v>
      </c>
    </row>
    <row r="225" spans="1:10" x14ac:dyDescent="0.25">
      <c r="A225" s="19" t="s">
        <v>1554</v>
      </c>
      <c r="B225" s="13">
        <f t="shared" si="24"/>
        <v>3</v>
      </c>
      <c r="C225" s="13" t="str">
        <f t="shared" si="25"/>
        <v>[UV08] L’agent de sécurité arrière-caisse a entre-autres pour mission dans la grande surface commerciale :|Aucune des autres réponses|De contrôler l’heure d’arrivée et de départ des employés|D’exercer une surveillance régalienne et coercitive|De faire appliquer les procédures de contrôle d’accès à tout visiteur pénétrant hors de la zone de vente|De tester le système de protection des marchandises à l’aide d’un antivol|E</v>
      </c>
      <c r="D225" t="str" cm="1">
        <f t="array" ref="D225:J225">_xlfn.TEXTSPLIT(C225,"|")</f>
        <v>[UV08] L’agent de sécurité arrière-caisse a entre-autres pour mission dans la grande surface commerciale :</v>
      </c>
      <c r="E225" t="str">
        <v>Aucune des autres réponses</v>
      </c>
      <c r="F225" t="str">
        <v>De contrôler l’heure d’arrivée et de départ des employés</v>
      </c>
      <c r="G225" t="str">
        <v>D’exercer une surveillance régalienne et coercitive</v>
      </c>
      <c r="H225" t="str">
        <v>De faire appliquer les procédures de contrôle d’accès à tout visiteur pénétrant hors de la zone de vente</v>
      </c>
      <c r="I225" t="str">
        <v>De tester le système de protection des marchandises à l’aide d’un antivol</v>
      </c>
      <c r="J225" t="str">
        <v>E</v>
      </c>
    </row>
    <row r="226" spans="1:10" x14ac:dyDescent="0.25">
      <c r="A226" s="19" t="s">
        <v>1555</v>
      </c>
      <c r="B226" s="13">
        <f t="shared" si="24"/>
        <v>3</v>
      </c>
      <c r="C226" s="13" t="str">
        <f t="shared" si="25"/>
        <v>[UV02] Un agent privé de sécurité a le droit de porter un « TASER » :|Sous condition d’une autorisation du maire|Sous condition qu’il détienne une carte professionnelle à jour|Sous condition qu’il réalise une prestation sur un site dangereux|L’acquisition et la détention sont interdites aux agents de sécurité privée|Aucune des autres réponses|D</v>
      </c>
      <c r="D226" t="str" cm="1">
        <f t="array" ref="D226:J226">_xlfn.TEXTSPLIT(C226,"|")</f>
        <v>[UV02] Un agent privé de sécurité a le droit de porter un « TASER » :</v>
      </c>
      <c r="E226" t="str">
        <v>Sous condition d’une autorisation du maire</v>
      </c>
      <c r="F226" t="str">
        <v>Sous condition qu’il détienne une carte professionnelle à jour</v>
      </c>
      <c r="G226" t="str">
        <v>Sous condition qu’il réalise une prestation sur un site dangereux</v>
      </c>
      <c r="H226" t="str">
        <v>L’acquisition et la détention sont interdites aux agents de sécurité privée</v>
      </c>
      <c r="I226" t="str">
        <v>Aucune des autres réponses</v>
      </c>
      <c r="J226" t="str">
        <v>D</v>
      </c>
    </row>
    <row r="227" spans="1:10" x14ac:dyDescent="0.25">
      <c r="A227" s="19" t="s">
        <v>1556</v>
      </c>
      <c r="B227" s="13">
        <f t="shared" si="24"/>
        <v>3</v>
      </c>
      <c r="C227" s="13" t="str">
        <f t="shared" si="25"/>
        <v>[UV11] Vous êtes en position de travailleur isolé sur un site de nuit et disposez d’un DATI :|Vous ne devez utiliser le DATI que lorsque vous partez en ronde|Le DATI est un appareil mis à disposition des agents pour garantir leur sécurité totale|Le DATI est un élément de la chaîne de sécurité, qui émet un signal afin de déclencher une procédure prédéfinie|Vous êtes totalement en sécurité s’il vous arrivait quoi que ce soit|Aucune des autres réponses|C</v>
      </c>
      <c r="D227" t="str" cm="1">
        <f t="array" ref="D227:J227">_xlfn.TEXTSPLIT(C227,"|")</f>
        <v>[UV11] Vous êtes en position de travailleur isolé sur un site de nuit et disposez d’un DATI :</v>
      </c>
      <c r="E227" t="str">
        <v>Vous ne devez utiliser le DATI que lorsque vous partez en ronde</v>
      </c>
      <c r="F227" t="str">
        <v>Le DATI est un appareil mis à disposition des agents pour garantir leur sécurité totale</v>
      </c>
      <c r="G227" t="str">
        <v>Le DATI est un élément de la chaîne de sécurité, qui émet un signal afin de déclencher une procédure prédéfinie</v>
      </c>
      <c r="H227" t="str">
        <v>Vous êtes totalement en sécurité s’il vous arrivait quoi que ce soit</v>
      </c>
      <c r="I227" t="str">
        <v>Aucune des autres réponses</v>
      </c>
      <c r="J227" t="str">
        <v>C</v>
      </c>
    </row>
    <row r="228" spans="1:10" x14ac:dyDescent="0.25">
      <c r="A228" s="19" t="s">
        <v>1557</v>
      </c>
      <c r="B228" s="13">
        <f t="shared" si="24"/>
        <v>3</v>
      </c>
      <c r="C228" s="13" t="str">
        <f t="shared" si="25"/>
        <v>[UV07] Qu’est-ce qu’un pneumothorax ?|Aucune des autres réponses|Un remplissage d’air dans la cavité pleurale|Un médicament vendu uniquement en pharmacie|Une brûlure au thorax|Une protection thoracique contre les coups|B</v>
      </c>
      <c r="D228" t="str" cm="1">
        <f t="array" ref="D228:J228">_xlfn.TEXTSPLIT(C228,"|")</f>
        <v>[UV07] Qu’est-ce qu’un pneumothorax ?</v>
      </c>
      <c r="E228" t="str">
        <v>Aucune des autres réponses</v>
      </c>
      <c r="F228" t="str">
        <v>Un remplissage d’air dans la cavité pleurale</v>
      </c>
      <c r="G228" t="str">
        <v>Un médicament vendu uniquement en pharmacie</v>
      </c>
      <c r="H228" t="str">
        <v>Une brûlure au thorax</v>
      </c>
      <c r="I228" t="str">
        <v>Une protection thoracique contre les coups</v>
      </c>
      <c r="J228" t="str">
        <v>B</v>
      </c>
    </row>
    <row r="229" spans="1:10" x14ac:dyDescent="0.25">
      <c r="A229" s="19" t="s">
        <v>1558</v>
      </c>
      <c r="B229" s="13">
        <f t="shared" si="24"/>
        <v>3</v>
      </c>
      <c r="C229" s="13" t="str">
        <f t="shared" si="25"/>
        <v>[UV08] Vous êtes agent en arrière-caisse dans un magasin, pouvez-vous demander à procéder à l’inspection visuelle des sacs d’achat de personnes déjà passées en caisse ?|Seulement en présence des forces de l’ordre|Oui, comme bon vous semble|Uniquement di le plan Vigipirate est déclenché|Oui, si un portique antivol se déclenche au passage de la personne|Aucune des autres réponses|D</v>
      </c>
      <c r="D229" t="str" cm="1">
        <f t="array" ref="D229:J229">_xlfn.TEXTSPLIT(C229,"|")</f>
        <v>[UV08] Vous êtes agent en arrière-caisse dans un magasin, pouvez-vous demander à procéder à l’inspection visuelle des sacs d’achat de personnes déjà passées en caisse ?</v>
      </c>
      <c r="E229" t="str">
        <v>Seulement en présence des forces de l’ordre</v>
      </c>
      <c r="F229" t="str">
        <v>Oui, comme bon vous semble</v>
      </c>
      <c r="G229" t="str">
        <v>Uniquement di le plan Vigipirate est déclenché</v>
      </c>
      <c r="H229" t="str">
        <v>Oui, si un portique antivol se déclenche au passage de la personne</v>
      </c>
      <c r="I229" t="str">
        <v>Aucune des autres réponses</v>
      </c>
      <c r="J229" t="str">
        <v>D</v>
      </c>
    </row>
    <row r="230" spans="1:10" x14ac:dyDescent="0.25">
      <c r="A230" s="19" t="s">
        <v>1559</v>
      </c>
      <c r="B230" s="13">
        <f t="shared" si="24"/>
        <v>3</v>
      </c>
      <c r="C230" s="13" t="str">
        <f t="shared" si="25"/>
        <v>[UV02] Le renouvellement de la carte professionnelle :|N’est pas obligatoire pour les anciens fonctionnaires des forces de l’ordre|N’est pas obligatoire|Aucune des autres réponses|Est subordonné au suivi d’une formation continue|Est subordonné à une autorisation de l’employeur|D</v>
      </c>
      <c r="D230" t="str" cm="1">
        <f t="array" ref="D230:J230">_xlfn.TEXTSPLIT(C230,"|")</f>
        <v>[UV02] Le renouvellement de la carte professionnelle :</v>
      </c>
      <c r="E230" t="str">
        <v>N’est pas obligatoire pour les anciens fonctionnaires des forces de l’ordre</v>
      </c>
      <c r="F230" t="str">
        <v>N’est pas obligatoire</v>
      </c>
      <c r="G230" t="str">
        <v>Aucune des autres réponses</v>
      </c>
      <c r="H230" t="str">
        <v>Est subordonné au suivi d’une formation continue</v>
      </c>
      <c r="I230" t="str">
        <v>Est subordonné à une autorisation de l’employeur</v>
      </c>
      <c r="J230" t="str">
        <v>D</v>
      </c>
    </row>
    <row r="231" spans="1:10" x14ac:dyDescent="0.25">
      <c r="A231" s="19" t="s">
        <v>1560</v>
      </c>
      <c r="B231" s="13">
        <f t="shared" si="24"/>
        <v>3</v>
      </c>
      <c r="C231" s="13" t="str">
        <f t="shared" si="25"/>
        <v>[UV02] Pour demander une carte professionnelle ou une autorisation d’entrée en formation, il est nécessaire de fournir, pour les ressortissants français :|Un certificat médical|Un justificatif de domicile de moins de 3 mois|Un extrait d’acte de naissance pour|Une copie du permis de conduire|Un extrait de casier judiciaire B3|B</v>
      </c>
      <c r="D231" t="str" cm="1">
        <f t="array" ref="D231:J231">_xlfn.TEXTSPLIT(C231,"|")</f>
        <v>[UV02] Pour demander une carte professionnelle ou une autorisation d’entrée en formation, il est nécessaire de fournir, pour les ressortissants français :</v>
      </c>
      <c r="E231" t="str">
        <v>Un certificat médical</v>
      </c>
      <c r="F231" t="str">
        <v>Un justificatif de domicile de moins de 3 mois</v>
      </c>
      <c r="G231" t="str">
        <v>Un extrait d’acte de naissance pour</v>
      </c>
      <c r="H231" t="str">
        <v>Une copie du permis de conduire</v>
      </c>
      <c r="I231" t="str">
        <v>Un extrait de casier judiciaire B3</v>
      </c>
      <c r="J231" t="str">
        <v>B</v>
      </c>
    </row>
    <row r="232" spans="1:10" x14ac:dyDescent="0.25">
      <c r="A232" s="19" t="s">
        <v>1561</v>
      </c>
      <c r="B232" s="13">
        <f t="shared" si="24"/>
        <v>3</v>
      </c>
      <c r="C232" s="13" t="str">
        <f t="shared" si="25"/>
        <v>[UV02] La liberté de conscience et de religion…|Correspond à la laïcité en France|Ne s’applique que pour certaines catégories de personnes|Correspond à l’obligation d’avoir une religion|Ne s’applique pas aux femmes|Permet tout de même à l’Etat d’imposer une religion|A</v>
      </c>
      <c r="D232" t="str" cm="1">
        <f t="array" ref="D232:J232">_xlfn.TEXTSPLIT(C232,"|")</f>
        <v>[UV02] La liberté de conscience et de religion…</v>
      </c>
      <c r="E232" t="str">
        <v>Correspond à la laïcité en France</v>
      </c>
      <c r="F232" t="str">
        <v>Ne s’applique que pour certaines catégories de personnes</v>
      </c>
      <c r="G232" t="str">
        <v>Correspond à l’obligation d’avoir une religion</v>
      </c>
      <c r="H232" t="str">
        <v>Ne s’applique pas aux femmes</v>
      </c>
      <c r="I232" t="str">
        <v>Permet tout de même à l’Etat d’imposer une religion</v>
      </c>
      <c r="J232" t="str">
        <v>A</v>
      </c>
    </row>
    <row r="233" spans="1:10" x14ac:dyDescent="0.25">
      <c r="A233" s="19" t="s">
        <v>1562</v>
      </c>
      <c r="B233" s="13">
        <f t="shared" si="24"/>
        <v>3</v>
      </c>
      <c r="C233" s="13" t="str">
        <f t="shared" si="25"/>
        <v>[UV03] Un de vos collègues est menacé verbalement par un spectateur qui s’en va. Que faites-vous ?|Je demande à mon collègue de rédiger un compte rendu factuel|Aucune des autres réponses|Je vais remonter le moral de mon collègue pour qu’il banalise la situation|Le client étant parti sans autre action, le dossier est clos|Je poursuis le client, lui fait la morale et le somme de venir présenter des excuses à mon collègue|A</v>
      </c>
      <c r="D233" t="str" cm="1">
        <f t="array" ref="D233:J233">_xlfn.TEXTSPLIT(C233,"|")</f>
        <v>[UV03] Un de vos collègues est menacé verbalement par un spectateur qui s’en va. Que faites-vous ?</v>
      </c>
      <c r="E233" t="str">
        <v>Je demande à mon collègue de rédiger un compte rendu factuel</v>
      </c>
      <c r="F233" t="str">
        <v>Aucune des autres réponses</v>
      </c>
      <c r="G233" t="str">
        <v>Je vais remonter le moral de mon collègue pour qu’il banalise la situation</v>
      </c>
      <c r="H233" t="str">
        <v>Le client étant parti sans autre action, le dossier est clos</v>
      </c>
      <c r="I233" t="str">
        <v>Je poursuis le client, lui fait la morale et le somme de venir présenter des excuses à mon collègue</v>
      </c>
      <c r="J233" t="str">
        <v>A</v>
      </c>
    </row>
    <row r="234" spans="1:10" x14ac:dyDescent="0.25">
      <c r="A234" s="19" t="s">
        <v>1563</v>
      </c>
      <c r="B234" s="13">
        <f t="shared" si="24"/>
        <v>3</v>
      </c>
      <c r="C234" s="13" t="str">
        <f t="shared" si="25"/>
        <v>[UV02] Agent de prévention et de sécurité en poste de filtrage :|Je suis habilité à effectuer une fouille de personne dans certains cas|Je peux effectuer un recueil d’identité, si les consignes ou le Règlement intérieur le prévoient|Je suis habilité à effectuer un test ADN dans certains cas|Aucune des autres réponses|Je suis habilité à effectuer un contrôle d’identité dans certains cas|B</v>
      </c>
      <c r="D234" t="str" cm="1">
        <f t="array" ref="D234:J234">_xlfn.TEXTSPLIT(C234,"|")</f>
        <v>[UV02] Agent de prévention et de sécurité en poste de filtrage :</v>
      </c>
      <c r="E234" t="str">
        <v>Je suis habilité à effectuer une fouille de personne dans certains cas</v>
      </c>
      <c r="F234" t="str">
        <v>Je peux effectuer un recueil d’identité, si les consignes ou le Règlement intérieur le prévoient</v>
      </c>
      <c r="G234" t="str">
        <v>Je suis habilité à effectuer un test ADN dans certains cas</v>
      </c>
      <c r="H234" t="str">
        <v>Aucune des autres réponses</v>
      </c>
      <c r="I234" t="str">
        <v>Je suis habilité à effectuer un contrôle d’identité dans certains cas</v>
      </c>
      <c r="J234" t="str">
        <v>B</v>
      </c>
    </row>
    <row r="235" spans="1:10" x14ac:dyDescent="0.25">
      <c r="A235" s="19" t="s">
        <v>1564</v>
      </c>
      <c r="B235" s="13">
        <f t="shared" si="24"/>
        <v>3</v>
      </c>
      <c r="C235" s="13" t="str">
        <f t="shared" si="25"/>
        <v>[UV09] Qui donne l’agrément pour procéder à des palpations de sécurité aux employés des entreprises de surveillance en cas de circonstances exceptionnelles ?|Le Préfet du département|Le SDIS|Le procureur de la République|Aucune des autres réponses|Le Ministre de l’Intérieur|D</v>
      </c>
      <c r="D235" t="str" cm="1">
        <f t="array" ref="D235:J235">_xlfn.TEXTSPLIT(C235,"|")</f>
        <v>[UV09] Qui donne l’agrément pour procéder à des palpations de sécurité aux employés des entreprises de surveillance en cas de circonstances exceptionnelles ?</v>
      </c>
      <c r="E235" t="str">
        <v>Le Préfet du département</v>
      </c>
      <c r="F235" t="str">
        <v>Le SDIS</v>
      </c>
      <c r="G235" t="str">
        <v>Le procureur de la République</v>
      </c>
      <c r="H235" t="str">
        <v>Aucune des autres réponses</v>
      </c>
      <c r="I235" t="str">
        <v>Le Ministre de l’Intérieur</v>
      </c>
      <c r="J235" t="str">
        <v>D</v>
      </c>
    </row>
    <row r="236" spans="1:10" x14ac:dyDescent="0.25">
      <c r="A236" s="19" t="s">
        <v>1565</v>
      </c>
      <c r="B236" s="13">
        <f t="shared" si="24"/>
        <v>3</v>
      </c>
      <c r="C236" s="13" t="str">
        <f t="shared" si="25"/>
        <v>[UV3] Une personne s’énerve parce que vous l’avez bousculée en partant pour une intervention en secours à la personne. Que faites-vous ?|Vous vous excusez et repartez rapidement en intervention|Aucune des autres réponses|Vous lui faites clairement comprendre que cela retarde votre intervention|Vous prenez le temps de lui présenter vos excuses et vous lui en expliquez précisément la cause|Vous l’ignorez car l’intervention est plus importante|A</v>
      </c>
      <c r="D236" t="str" cm="1">
        <f t="array" ref="D236:J236">_xlfn.TEXTSPLIT(C236,"|")</f>
        <v>[UV3] Une personne s’énerve parce que vous l’avez bousculée en partant pour une intervention en secours à la personne. Que faites-vous ?</v>
      </c>
      <c r="E236" t="str">
        <v>Vous vous excusez et repartez rapidement en intervention</v>
      </c>
      <c r="F236" t="str">
        <v>Aucune des autres réponses</v>
      </c>
      <c r="G236" t="str">
        <v>Vous lui faites clairement comprendre que cela retarde votre intervention</v>
      </c>
      <c r="H236" t="str">
        <v>Vous prenez le temps de lui présenter vos excuses et vous lui en expliquez précisément la cause</v>
      </c>
      <c r="I236" t="str">
        <v>Vous l’ignorez car l’intervention est plus importante</v>
      </c>
      <c r="J236" t="str">
        <v>A</v>
      </c>
    </row>
    <row r="237" spans="1:10" x14ac:dyDescent="0.25">
      <c r="A237" s="19" t="s">
        <v>1566</v>
      </c>
      <c r="B237" s="13">
        <f t="shared" si="24"/>
        <v>3</v>
      </c>
      <c r="C237" s="13" t="str">
        <f t="shared" si="25"/>
        <v>[UV08] La convention collective doit être :|Affichée à l’entrée du siège social de l’entreprise|Remise aux salariés|Aucune des autres réponses|Remise aux organisations professionnelles|Tenues à la disposition des salariés dans l’entreprise|E</v>
      </c>
      <c r="D237" t="str" cm="1">
        <f t="array" ref="D237:J237">_xlfn.TEXTSPLIT(C237,"|")</f>
        <v>[UV08] La convention collective doit être :</v>
      </c>
      <c r="E237" t="str">
        <v>Affichée à l’entrée du siège social de l’entreprise</v>
      </c>
      <c r="F237" t="str">
        <v>Remise aux salariés</v>
      </c>
      <c r="G237" t="str">
        <v>Aucune des autres réponses</v>
      </c>
      <c r="H237" t="str">
        <v>Remise aux organisations professionnelles</v>
      </c>
      <c r="I237" t="str">
        <v>Tenues à la disposition des salariés dans l’entreprise</v>
      </c>
      <c r="J237" t="str">
        <v>E</v>
      </c>
    </row>
    <row r="238" spans="1:10" x14ac:dyDescent="0.25">
      <c r="A238" s="19" t="s">
        <v>1567</v>
      </c>
      <c r="B238" s="13">
        <f t="shared" si="24"/>
        <v>3</v>
      </c>
      <c r="C238" s="13" t="str">
        <f t="shared" si="25"/>
        <v>[UV08] Les convoyeurs de fonds dans le cadre de leurs missions peuvent être dispensés du port de la tenue lorsqu’ils sont en véhicule banalisé :|Oui avec une carte professionnelle mentionnant le véhicule banalisé|Non car un agent de sécurité doit toujours être en tenue, c’est la règle|Aucune des autres réponses|Non, car même une tenue banalisée est considérée comme une tenue|Oui|E</v>
      </c>
      <c r="D238" t="str" cm="1">
        <f t="array" ref="D238:J238">_xlfn.TEXTSPLIT(C238,"|")</f>
        <v>[UV08] Les convoyeurs de fonds dans le cadre de leurs missions peuvent être dispensés du port de la tenue lorsqu’ils sont en véhicule banalisé :</v>
      </c>
      <c r="E238" t="str">
        <v>Oui avec une carte professionnelle mentionnant le véhicule banalisé</v>
      </c>
      <c r="F238" t="str">
        <v>Non car un agent de sécurité doit toujours être en tenue, c’est la règle</v>
      </c>
      <c r="G238" t="str">
        <v>Aucune des autres réponses</v>
      </c>
      <c r="H238" t="str">
        <v>Non, car même une tenue banalisée est considérée comme une tenue</v>
      </c>
      <c r="I238" t="str">
        <v>Oui</v>
      </c>
      <c r="J238" t="str">
        <v>E</v>
      </c>
    </row>
    <row r="239" spans="1:10" x14ac:dyDescent="0.25">
      <c r="A239" s="19" t="s">
        <v>1568</v>
      </c>
      <c r="B239" s="13">
        <f t="shared" si="24"/>
        <v>3</v>
      </c>
      <c r="C239" s="13" t="str">
        <f t="shared" si="25"/>
        <v>[UV09] Dans quelle situation pourrais-je effectuer des palpations de sécurité ?|Aucune des autres réponses|À l’entrée d’une salle de concert, sans les agréments réglementaires|À l’entrée d’un magasin sur toute personne suspecte|À la sortie d’un magasin sur un individu connu pour des actes de vols fréquents, sur demande du responsable du magasin|Sur une personne appréhendée suite à un flagrant délit qui menaçait de se couper les veines|E</v>
      </c>
      <c r="D239" t="str" cm="1">
        <f t="array" ref="D239:J239">_xlfn.TEXTSPLIT(C239,"|")</f>
        <v>[UV09] Dans quelle situation pourrais-je effectuer des palpations de sécurité ?</v>
      </c>
      <c r="E239" t="str">
        <v>Aucune des autres réponses</v>
      </c>
      <c r="F239" t="str">
        <v>À l’entrée d’une salle de concert, sans les agréments réglementaires</v>
      </c>
      <c r="G239" t="str">
        <v>À l’entrée d’un magasin sur toute personne suspecte</v>
      </c>
      <c r="H239" t="str">
        <v>À la sortie d’un magasin sur un individu connu pour des actes de vols fréquents, sur demande du responsable du magasin</v>
      </c>
      <c r="I239" t="str">
        <v>Sur une personne appréhendée suite à un flagrant délit qui menaçait de se couper les veines</v>
      </c>
      <c r="J239" t="str">
        <v>E</v>
      </c>
    </row>
    <row r="240" spans="1:10" x14ac:dyDescent="0.25">
      <c r="A240" s="19" t="s">
        <v>1569</v>
      </c>
      <c r="B240" s="13">
        <f t="shared" si="24"/>
        <v>3</v>
      </c>
      <c r="C240" s="13" t="str">
        <f t="shared" si="25"/>
        <v>[UV08] Lors d’une levée de doute intrusion, vous découvrez une porte fracturée avec la présence d’empreintes de pas qui se dirigent vers l’intérieur d’un bâtiment ?|Vous effectuez une levée de doute complémentaire pour appréhender un éventuel intrus|Vous rendez compte pour faire intervenir un service de nettoyage|Vous ramassez tout ce qui peut être blessant pour éviter un suraccident|Vous donnez l’alerte et vous effectuez un périmètre de sécurité pour préserver les traces|Aucune des autres réponses|D</v>
      </c>
      <c r="D240" t="str" cm="1">
        <f t="array" ref="D240:J240">_xlfn.TEXTSPLIT(C240,"|")</f>
        <v>[UV08] Lors d’une levée de doute intrusion, vous découvrez une porte fracturée avec la présence d’empreintes de pas qui se dirigent vers l’intérieur d’un bâtiment ?</v>
      </c>
      <c r="E240" t="str">
        <v>Vous effectuez une levée de doute complémentaire pour appréhender un éventuel intrus</v>
      </c>
      <c r="F240" t="str">
        <v>Vous rendez compte pour faire intervenir un service de nettoyage</v>
      </c>
      <c r="G240" t="str">
        <v>Vous ramassez tout ce qui peut être blessant pour éviter un suraccident</v>
      </c>
      <c r="H240" t="str">
        <v>Vous donnez l’alerte et vous effectuez un périmètre de sécurité pour préserver les traces</v>
      </c>
      <c r="I240" t="str">
        <v>Aucune des autres réponses</v>
      </c>
      <c r="J240" t="str">
        <v>D</v>
      </c>
    </row>
    <row r="241" spans="1:10" x14ac:dyDescent="0.25">
      <c r="A241" s="19" t="s">
        <v>1570</v>
      </c>
      <c r="B241" s="13">
        <f t="shared" si="24"/>
        <v>3</v>
      </c>
      <c r="C241" s="13" t="str">
        <f t="shared" si="25"/>
        <v>[UV02] Où siège le Sénat|À Versailles|Au quai Branly|À l’Elysée|Au Palais du Luxembourg|À Matignon|D</v>
      </c>
      <c r="D241" t="str" cm="1">
        <f t="array" ref="D241:J241">_xlfn.TEXTSPLIT(C241,"|")</f>
        <v>[UV02] Où siège le Sénat</v>
      </c>
      <c r="E241" t="str">
        <v>À Versailles</v>
      </c>
      <c r="F241" t="str">
        <v>Au quai Branly</v>
      </c>
      <c r="G241" t="str">
        <v>À l’Elysée</v>
      </c>
      <c r="H241" t="str">
        <v>Au Palais du Luxembourg</v>
      </c>
      <c r="I241" t="str">
        <v>À Matignon</v>
      </c>
      <c r="J241" t="str">
        <v>D</v>
      </c>
    </row>
    <row r="242" spans="1:10" x14ac:dyDescent="0.25">
      <c r="A242" s="19" t="s">
        <v>1571</v>
      </c>
      <c r="B242" s="13">
        <f t="shared" si="24"/>
        <v>3</v>
      </c>
      <c r="C242" s="13" t="str">
        <f t="shared" si="25"/>
        <v>[UV06] Dans le magasin dont vous êtes l’agent pré-vol, vous apercevez une personne âgée dissimulant des tablettes de chocolat dans son sac à main, qui se présente à la caisse et ne les pose pas sur le tapis. Comment réagissez-vous ?|Vous demandez à la personne âgée d’ouvrir son sac dans le magasin|Vous prévenez vos collègues et l’attendez en sortie de caisse|Vous prévenez vos collègues pour une appréhension en sortie de caisse|Vous l’interpellez dans le magasin et l’accompagnez auprès de vos collègues|Vous ne faites rien car si cette personne dissimule de la nourriture, c’est qu’elle a faim|C</v>
      </c>
      <c r="D242" t="str" cm="1">
        <f t="array" ref="D242:J242">_xlfn.TEXTSPLIT(C242,"|")</f>
        <v>[UV06] Dans le magasin dont vous êtes l’agent pré-vol, vous apercevez une personne âgée dissimulant des tablettes de chocolat dans son sac à main, qui se présente à la caisse et ne les pose pas sur le tapis. Comment réagissez-vous ?</v>
      </c>
      <c r="E242" t="str">
        <v>Vous demandez à la personne âgée d’ouvrir son sac dans le magasin</v>
      </c>
      <c r="F242" t="str">
        <v>Vous prévenez vos collègues et l’attendez en sortie de caisse</v>
      </c>
      <c r="G242" t="str">
        <v>Vous prévenez vos collègues pour une appréhension en sortie de caisse</v>
      </c>
      <c r="H242" t="str">
        <v>Vous l’interpellez dans le magasin et l’accompagnez auprès de vos collègues</v>
      </c>
      <c r="I242" t="str">
        <v>Vous ne faites rien car si cette personne dissimule de la nourriture, c’est qu’elle a faim</v>
      </c>
      <c r="J242" t="str">
        <v>C</v>
      </c>
    </row>
    <row r="243" spans="1:10" x14ac:dyDescent="0.25">
      <c r="A243" s="19" t="s">
        <v>1572</v>
      </c>
      <c r="B243" s="13">
        <f t="shared" si="24"/>
        <v>3</v>
      </c>
      <c r="C243" s="13" t="str">
        <f t="shared" si="25"/>
        <v>[UV12] Un lieu ou un événement exposé à un risque d’actes de terrorisme à raison de sa nature et de l’ampleur de sa fréquentation peut, par le livre II du Code de la Sécurité Intérieure (L.226-1), être institué :|Périmètre de sûreté dont l’accès et la circulation des personnes sont restreints|Périmètre d’urgence dans lequel les conditions d’usage des armes sont étendues|Aucune des autres réponses|Périmètre de protection au sein duquel l’accès et la circulation des personnes sont réglementés|Périmètre de sécurité pour lequel les conditions d’exercice des agents sont limitées|D</v>
      </c>
      <c r="D243" t="str" cm="1">
        <f t="array" ref="D243:J243">_xlfn.TEXTSPLIT(C243,"|")</f>
        <v>[UV12] Un lieu ou un événement exposé à un risque d’actes de terrorisme à raison de sa nature et de l’ampleur de sa fréquentation peut, par le livre II du Code de la Sécurité Intérieure (L.226-1), être institué :</v>
      </c>
      <c r="E243" t="str">
        <v>Périmètre de sûreté dont l’accès et la circulation des personnes sont restreints</v>
      </c>
      <c r="F243" t="str">
        <v>Périmètre d’urgence dans lequel les conditions d’usage des armes sont étendues</v>
      </c>
      <c r="G243" t="str">
        <v>Aucune des autres réponses</v>
      </c>
      <c r="H243" t="str">
        <v>Périmètre de protection au sein duquel l’accès et la circulation des personnes sont réglementés</v>
      </c>
      <c r="I243" t="str">
        <v>Périmètre de sécurité pour lequel les conditions d’exercice des agents sont limitées</v>
      </c>
      <c r="J243" t="str">
        <v>D</v>
      </c>
    </row>
    <row r="244" spans="1:10" x14ac:dyDescent="0.25">
      <c r="A244" s="19" t="s">
        <v>1573</v>
      </c>
      <c r="B244" s="13">
        <f t="shared" si="24"/>
        <v>3</v>
      </c>
      <c r="C244" s="13" t="str">
        <f t="shared" si="25"/>
        <v>[UV08] Quels sont les deux documents les plus importants qu’un agent de sécurité en poste doit prendre en compte pour mener au mieux sa mission ?|Les consignes générales et les consignes particulières|Aucune des autres réponses|Les consignes préfectorales et les mesures Vigipirate|Les plans de l’entreprise et des transports en commun|Le planning des heures de vacation et des congés|A</v>
      </c>
      <c r="D244" t="str" cm="1">
        <f t="array" ref="D244:J244">_xlfn.TEXTSPLIT(C244,"|")</f>
        <v>[UV08] Quels sont les deux documents les plus importants qu’un agent de sécurité en poste doit prendre en compte pour mener au mieux sa mission ?</v>
      </c>
      <c r="E244" t="str">
        <v>Les consignes générales et les consignes particulières</v>
      </c>
      <c r="F244" t="str">
        <v>Aucune des autres réponses</v>
      </c>
      <c r="G244" t="str">
        <v>Les consignes préfectorales et les mesures Vigipirate</v>
      </c>
      <c r="H244" t="str">
        <v>Les plans de l’entreprise et des transports en commun</v>
      </c>
      <c r="I244" t="str">
        <v>Le planning des heures de vacation et des congés</v>
      </c>
      <c r="J244" t="str">
        <v>A</v>
      </c>
    </row>
    <row r="245" spans="1:10" x14ac:dyDescent="0.25">
      <c r="A245" s="19" t="s">
        <v>1574</v>
      </c>
      <c r="B245" s="13">
        <f t="shared" si="24"/>
        <v>3</v>
      </c>
      <c r="C245" s="13" t="str">
        <f t="shared" si="25"/>
        <v>[UV09] Votre employeur vous habilite pour effectuer des palpations lors d’une manifestation, que faites-vous au regard du cadre légal ?|Vous lui demandez s’il a une autorisation préfectorale|C’est exceptionnel donc je palpe|Aucune des autres réponses|Vous informez votre employeur que vous n’avez pas d’agrément de la CLAC et que vous n’avez pas le droit de le faire|Vous acceptez car votre employeur a engagé sa responsabilité|E</v>
      </c>
      <c r="D245" t="str" cm="1">
        <f t="array" ref="D245:J245">_xlfn.TEXTSPLIT(C245,"|")</f>
        <v>[UV09] Votre employeur vous habilite pour effectuer des palpations lors d’une manifestation, que faites-vous au regard du cadre légal ?</v>
      </c>
      <c r="E245" t="str">
        <v>Vous lui demandez s’il a une autorisation préfectorale</v>
      </c>
      <c r="F245" t="str">
        <v>C’est exceptionnel donc je palpe</v>
      </c>
      <c r="G245" t="str">
        <v>Aucune des autres réponses</v>
      </c>
      <c r="H245" t="str">
        <v>Vous informez votre employeur que vous n’avez pas d’agrément de la CLAC et que vous n’avez pas le droit de le faire</v>
      </c>
      <c r="I245" t="str">
        <v>Vous acceptez car votre employeur a engagé sa responsabilité</v>
      </c>
      <c r="J245" t="str">
        <v>E</v>
      </c>
    </row>
    <row r="246" spans="1:10" x14ac:dyDescent="0.25">
      <c r="A246" s="19" t="s">
        <v>1575</v>
      </c>
      <c r="B246" s="13">
        <f t="shared" si="24"/>
        <v>3</v>
      </c>
      <c r="C246" s="13" t="str">
        <f t="shared" si="25"/>
        <v>[UV02] Que risque un employeur qui a conclu un contrat de travail avec un agent de sécurité, non titulaire de la carte professionnelle ?|1 an d’emprisonnement et 15 000 euros d’amende|L’employeur ne risque rien|1 an d’emprisonnement et 2 000 euros d’amende|Aucune des autres réponses|2 ans d’emprisonnement et 30 000 euros d’amende|E</v>
      </c>
      <c r="D246" t="str" cm="1">
        <f t="array" ref="D246:J246">_xlfn.TEXTSPLIT(C246,"|")</f>
        <v>[UV02] Que risque un employeur qui a conclu un contrat de travail avec un agent de sécurité, non titulaire de la carte professionnelle ?</v>
      </c>
      <c r="E246" t="str">
        <v>1 an d’emprisonnement et 15 000 euros d’amende</v>
      </c>
      <c r="F246" t="str">
        <v>L’employeur ne risque rien</v>
      </c>
      <c r="G246" t="str">
        <v>1 an d’emprisonnement et 2 000 euros d’amende</v>
      </c>
      <c r="H246" t="str">
        <v>Aucune des autres réponses</v>
      </c>
      <c r="I246" t="str">
        <v>2 ans d’emprisonnement et 30 000 euros d’amende</v>
      </c>
      <c r="J246" t="str">
        <v>E</v>
      </c>
    </row>
    <row r="247" spans="1:10" x14ac:dyDescent="0.25">
      <c r="A247" s="19" t="s">
        <v>1576</v>
      </c>
      <c r="B247" s="13">
        <f t="shared" si="24"/>
        <v>3</v>
      </c>
      <c r="C247" s="13" t="str">
        <f t="shared" si="25"/>
        <v>[UV02] Le vol avec arme est qualifié de :|Délit qualifié|Crime terroriste|Aucune des autres réponses|Crime|Délit aggravé|D</v>
      </c>
      <c r="D247" t="str" cm="1">
        <f t="array" ref="D247:J247">_xlfn.TEXTSPLIT(C247,"|")</f>
        <v>[UV02] Le vol avec arme est qualifié de :</v>
      </c>
      <c r="E247" t="str">
        <v>Délit qualifié</v>
      </c>
      <c r="F247" t="str">
        <v>Crime terroriste</v>
      </c>
      <c r="G247" t="str">
        <v>Aucune des autres réponses</v>
      </c>
      <c r="H247" t="str">
        <v>Crime</v>
      </c>
      <c r="I247" t="str">
        <v>Délit aggravé</v>
      </c>
      <c r="J247" t="str">
        <v>D</v>
      </c>
    </row>
    <row r="248" spans="1:10" x14ac:dyDescent="0.25">
      <c r="A248" s="19" t="s">
        <v>1577</v>
      </c>
      <c r="B248" s="13">
        <f t="shared" si="24"/>
        <v>3</v>
      </c>
      <c r="C248" s="13" t="str">
        <f t="shared" si="25"/>
        <v>[UV02] Une mission de gardiennage peut être sous-traitée :|Selon le Code du commerce et les restrictions du Code de la Sécurité Intérieure|En aucun cas, la sous-traitance étant interdite|Sur autorisation spécifique du Préfet|Sur autorisation du CNAPS|Selon le Code du Commerce, comme toute prestation de service|A</v>
      </c>
      <c r="D248" t="str" cm="1">
        <f t="array" ref="D248:J248">_xlfn.TEXTSPLIT(C248,"|")</f>
        <v>[UV02] Une mission de gardiennage peut être sous-traitée :</v>
      </c>
      <c r="E248" t="str">
        <v>Selon le Code du commerce et les restrictions du Code de la Sécurité Intérieure</v>
      </c>
      <c r="F248" t="str">
        <v>En aucun cas, la sous-traitance étant interdite</v>
      </c>
      <c r="G248" t="str">
        <v>Sur autorisation spécifique du Préfet</v>
      </c>
      <c r="H248" t="str">
        <v>Sur autorisation du CNAPS</v>
      </c>
      <c r="I248" t="str">
        <v>Selon le Code du Commerce, comme toute prestation de service</v>
      </c>
      <c r="J248" t="str">
        <v>A</v>
      </c>
    </row>
    <row r="249" spans="1:10" x14ac:dyDescent="0.25">
      <c r="A249" s="19" t="s">
        <v>1578</v>
      </c>
      <c r="B249" s="13">
        <f t="shared" si="24"/>
        <v>3</v>
      </c>
      <c r="C249" s="13" t="str">
        <f t="shared" si="25"/>
        <v>[UV08] Combien existe-t-il de zones de protection ?|Quatre|Une|Aucune des autres réponses|Trois|Deux|A</v>
      </c>
      <c r="D249" t="str" cm="1">
        <f t="array" ref="D249:J249">_xlfn.TEXTSPLIT(C249,"|")</f>
        <v>[UV08] Combien existe-t-il de zones de protection ?</v>
      </c>
      <c r="E249" t="str">
        <v>Quatre</v>
      </c>
      <c r="F249" t="str">
        <v>Une</v>
      </c>
      <c r="G249" t="str">
        <v>Aucune des autres réponses</v>
      </c>
      <c r="H249" t="str">
        <v>Trois</v>
      </c>
      <c r="I249" t="str">
        <v>Deux</v>
      </c>
      <c r="J249" t="str">
        <v>A</v>
      </c>
    </row>
    <row r="250" spans="1:10" x14ac:dyDescent="0.25">
      <c r="A250" s="19" t="s">
        <v>1579</v>
      </c>
      <c r="B250" s="13">
        <f t="shared" si="24"/>
        <v>3</v>
      </c>
      <c r="C250" s="13" t="str">
        <f t="shared" si="25"/>
        <v>[UV10] Votre employeur vous demande d’effectuer des palpations de sécurité lors d’un gala de bienfaisance réunissant 200 personnes. Que faites-vous ?|Je ne peux pas refuser puisque je connais bien la technique|Aucune des autres réponses|Je refuse, ne souhaitant pas risquer de sanctions en cas de contrôle|J’accepte parce que cette demande est légale|Je refuse car il me faudrait bénéficier d’une prime de palpation|C</v>
      </c>
      <c r="D250" t="str" cm="1">
        <f t="array" ref="D250:J250">_xlfn.TEXTSPLIT(C250,"|")</f>
        <v>[UV10] Votre employeur vous demande d’effectuer des palpations de sécurité lors d’un gala de bienfaisance réunissant 200 personnes. Que faites-vous ?</v>
      </c>
      <c r="E250" t="str">
        <v>Je ne peux pas refuser puisque je connais bien la technique</v>
      </c>
      <c r="F250" t="str">
        <v>Aucune des autres réponses</v>
      </c>
      <c r="G250" t="str">
        <v>Je refuse, ne souhaitant pas risquer de sanctions en cas de contrôle</v>
      </c>
      <c r="H250" t="str">
        <v>J’accepte parce que cette demande est légale</v>
      </c>
      <c r="I250" t="str">
        <v>Je refuse car il me faudrait bénéficier d’une prime de palpation</v>
      </c>
      <c r="J250" t="str">
        <v>C</v>
      </c>
    </row>
    <row r="251" spans="1:10" x14ac:dyDescent="0.25">
      <c r="A251" s="19" t="s">
        <v>1580</v>
      </c>
      <c r="B251" s="13">
        <f t="shared" si="24"/>
        <v>3</v>
      </c>
      <c r="C251" s="13" t="str">
        <f t="shared" si="25"/>
        <v>[UV11] Lorsque l’opération est réalisée de nuit ou dans un lieu isolé ou à un moment où l’activité de l’entreprise utilisatrice est interrompue le chef de l’entreprise extérieure intéressé prend les mesures nécessaires pour :|qu’aucun travailleur ne travaille isolément en un point où il ne pourrait être secouru à bref délai en cas d’accident|Aucune des autres réponses|que le travailleur soit toujours joint en moins de 10 minutes|que le travailleur travaille seul en un point du site afin d’être tranquille|que le travailleur ne soit jamais seul en tout point du site|A</v>
      </c>
      <c r="D251" t="str" cm="1">
        <f t="array" ref="D251:J251">_xlfn.TEXTSPLIT(C251,"|")</f>
        <v>[UV11] Lorsque l’opération est réalisée de nuit ou dans un lieu isolé ou à un moment où l’activité de l’entreprise utilisatrice est interrompue le chef de l’entreprise extérieure intéressé prend les mesures nécessaires pour :</v>
      </c>
      <c r="E251" t="str">
        <v>qu’aucun travailleur ne travaille isolément en un point où il ne pourrait être secouru à bref délai en cas d’accident</v>
      </c>
      <c r="F251" t="str">
        <v>Aucune des autres réponses</v>
      </c>
      <c r="G251" t="str">
        <v>que le travailleur soit toujours joint en moins de 10 minutes</v>
      </c>
      <c r="H251" t="str">
        <v>que le travailleur travaille seul en un point du site afin d’être tranquille</v>
      </c>
      <c r="I251" t="str">
        <v>que le travailleur ne soit jamais seul en tout point du site</v>
      </c>
      <c r="J251" t="str">
        <v>A</v>
      </c>
    </row>
    <row r="252" spans="1:10" x14ac:dyDescent="0.25">
      <c r="A252" s="19" t="s">
        <v>1581</v>
      </c>
      <c r="B252" s="13">
        <f t="shared" si="24"/>
        <v>3</v>
      </c>
      <c r="C252" s="13" t="str">
        <f t="shared" si="25"/>
        <v>[UV06] Dans le magasin dont vous êtes l’agent pré-vol, vous apercevez une personne consommant des bonbons et des boissons dans le magasin. Une fois terminé sa consommation, et les emballages jetés cette personne continue ses courses normalement :|Vous récupérer les emballages vides pour les remettre à vos collègues ils seront utiles lors de l’appréhension|Vous prévenez vos collègues pour une entrave en sortie de caisse|Aucune des autres réponses|Vous prévenez la personne pour lui indiquer de ne plus recommencer et vous continuez votre travail sans plus vous occuper de cette personne|Vous ne faites rien car cette personne continue ses courses qu’elle va donc payer en caisse. Ce n’est pas grave car elle va régler un caddie entier|A</v>
      </c>
      <c r="D252" t="str" cm="1">
        <f t="array" ref="D252:J252">_xlfn.TEXTSPLIT(C252,"|")</f>
        <v>[UV06] Dans le magasin dont vous êtes l’agent pré-vol, vous apercevez une personne consommant des bonbons et des boissons dans le magasin. Une fois terminé sa consommation, et les emballages jetés cette personne continue ses courses normalement :</v>
      </c>
      <c r="E252" t="str">
        <v>Vous récupérer les emballages vides pour les remettre à vos collègues ils seront utiles lors de l’appréhension</v>
      </c>
      <c r="F252" t="str">
        <v>Vous prévenez vos collègues pour une entrave en sortie de caisse</v>
      </c>
      <c r="G252" t="str">
        <v>Aucune des autres réponses</v>
      </c>
      <c r="H252" t="str">
        <v>Vous prévenez la personne pour lui indiquer de ne plus recommencer et vous continuez votre travail sans plus vous occuper de cette personne</v>
      </c>
      <c r="I252" t="str">
        <v>Vous ne faites rien car cette personne continue ses courses qu’elle va donc payer en caisse. Ce n’est pas grave car elle va régler un caddie entier</v>
      </c>
      <c r="J252" t="str">
        <v>A</v>
      </c>
    </row>
    <row r="253" spans="1:10" x14ac:dyDescent="0.25">
      <c r="A253" s="19" t="s">
        <v>1582</v>
      </c>
      <c r="B253" s="13">
        <f t="shared" si="24"/>
        <v>3</v>
      </c>
      <c r="C253" s="13" t="str">
        <f t="shared" si="25"/>
        <v>[UV12] Comment sont désignés les grands événements exposés à un risque exceptionnel de menace terroriste ?|Par les organisateurs dans le dossier d’analyse des risques|Aucune des autres réponses|Par le Préfet suite aux déclarations obligatoires des organisateurs|Par le Ministre de l’intérieur en fonction des derniers événements|Par décret conformément à l’article L211-11-1 di CSI|E</v>
      </c>
      <c r="D253" t="str" cm="1">
        <f t="array" ref="D253:J253">_xlfn.TEXTSPLIT(C253,"|")</f>
        <v>[UV12] Comment sont désignés les grands événements exposés à un risque exceptionnel de menace terroriste ?</v>
      </c>
      <c r="E253" t="str">
        <v>Par les organisateurs dans le dossier d’analyse des risques</v>
      </c>
      <c r="F253" t="str">
        <v>Aucune des autres réponses</v>
      </c>
      <c r="G253" t="str">
        <v>Par le Préfet suite aux déclarations obligatoires des organisateurs</v>
      </c>
      <c r="H253" t="str">
        <v>Par le Ministre de l’intérieur en fonction des derniers événements</v>
      </c>
      <c r="I253" t="str">
        <v>Par décret conformément à l’article L211-11-1 di CSI</v>
      </c>
      <c r="J253" t="str">
        <v>E</v>
      </c>
    </row>
    <row r="254" spans="1:10" x14ac:dyDescent="0.25">
      <c r="A254" s="19" t="s">
        <v>1583</v>
      </c>
      <c r="B254" s="13">
        <f t="shared" si="24"/>
        <v>3</v>
      </c>
      <c r="C254" s="13" t="str">
        <f t="shared" si="25"/>
        <v>[UV08] Quelles sont les familles de détecteurs ?|Optiques, thermiques, de mouvements, microphoniques|D’ouverture, thermo, vélocinétique, olfactif|Visuels, olfactif, de sons, de mouvements|De mouvements, optiques, thermiques, étendus|Aucune des autres réponses|A</v>
      </c>
      <c r="D254" t="str" cm="1">
        <f t="array" ref="D254:J254">_xlfn.TEXTSPLIT(C254,"|")</f>
        <v>[UV08] Quelles sont les familles de détecteurs ?</v>
      </c>
      <c r="E254" t="str">
        <v>Optiques, thermiques, de mouvements, microphoniques</v>
      </c>
      <c r="F254" t="str">
        <v>D’ouverture, thermo, vélocinétique, olfactif</v>
      </c>
      <c r="G254" t="str">
        <v>Visuels, olfactif, de sons, de mouvements</v>
      </c>
      <c r="H254" t="str">
        <v>De mouvements, optiques, thermiques, étendus</v>
      </c>
      <c r="I254" t="str">
        <v>Aucune des autres réponses</v>
      </c>
      <c r="J254" t="str">
        <v>A</v>
      </c>
    </row>
    <row r="255" spans="1:10" x14ac:dyDescent="0.25">
      <c r="A255" s="19" t="s">
        <v>1584</v>
      </c>
      <c r="B255" s="13">
        <f t="shared" si="24"/>
        <v>3</v>
      </c>
      <c r="C255" s="13" t="str">
        <f t="shared" si="25"/>
        <v>[UV12] Quels sont les faits autorisés et donc non passibles de poursuite en matière d’utilisation d’images de vidéoprotection ?|Le fait d’utiliser des images à d’autres fins que celles autorisées|Aucune des autres réponses|Le fait de permettre leur accès à des personnes non habilitées|Le fait de falsifier des enregistrements|Le fait de ne conserver les images que pendant un mois au maximum sauf procédure judiciaire en cous|E</v>
      </c>
      <c r="D255" t="str" cm="1">
        <f t="array" ref="D255:J255">_xlfn.TEXTSPLIT(C255,"|")</f>
        <v>[UV12] Quels sont les faits autorisés et donc non passibles de poursuite en matière d’utilisation d’images de vidéoprotection ?</v>
      </c>
      <c r="E255" t="str">
        <v>Le fait d’utiliser des images à d’autres fins que celles autorisées</v>
      </c>
      <c r="F255" t="str">
        <v>Aucune des autres réponses</v>
      </c>
      <c r="G255" t="str">
        <v>Le fait de permettre leur accès à des personnes non habilitées</v>
      </c>
      <c r="H255" t="str">
        <v>Le fait de falsifier des enregistrements</v>
      </c>
      <c r="I255" t="str">
        <v>Le fait de ne conserver les images que pendant un mois au maximum sauf procédure judiciaire en cous</v>
      </c>
      <c r="J255" t="str">
        <v>E</v>
      </c>
    </row>
    <row r="256" spans="1:10" x14ac:dyDescent="0.25">
      <c r="A256" s="19" t="s">
        <v>1585</v>
      </c>
      <c r="B256" s="13">
        <f t="shared" si="24"/>
        <v>3</v>
      </c>
      <c r="C256" s="13" t="str">
        <f t="shared" si="25"/>
        <v>[UV11] En cas de défaillance du DATI, quelle est l’une des solutions alternatives pouvant être mise en place ?|L’agent reste au PCS et n’effectue aucune ronde n’ayant pas de dispositif en bon état de fonctionnement|L’agent envoie des SMS à un de ses collègues toutes les heures|Aucune des autres réponses|L’agent fait des appels sécuritaires conformément aux consignes de site|L’agent de sécurité termine sa vacation normalement|D</v>
      </c>
      <c r="D256" t="str" cm="1">
        <f t="array" ref="D256:J256">_xlfn.TEXTSPLIT(C256,"|")</f>
        <v>[UV11] En cas de défaillance du DATI, quelle est l’une des solutions alternatives pouvant être mise en place ?</v>
      </c>
      <c r="E256" t="str">
        <v>L’agent reste au PCS et n’effectue aucune ronde n’ayant pas de dispositif en bon état de fonctionnement</v>
      </c>
      <c r="F256" t="str">
        <v>L’agent envoie des SMS à un de ses collègues toutes les heures</v>
      </c>
      <c r="G256" t="str">
        <v>Aucune des autres réponses</v>
      </c>
      <c r="H256" t="str">
        <v>L’agent fait des appels sécuritaires conformément aux consignes de site</v>
      </c>
      <c r="I256" t="str">
        <v>L’agent de sécurité termine sa vacation normalement</v>
      </c>
      <c r="J256" t="str">
        <v>D</v>
      </c>
    </row>
    <row r="257" spans="1:10" x14ac:dyDescent="0.25">
      <c r="A257" s="19" t="s">
        <v>1586</v>
      </c>
      <c r="B257" s="13">
        <f t="shared" si="24"/>
        <v>3</v>
      </c>
      <c r="C257" s="13" t="str">
        <f t="shared" si="25"/>
        <v>[UV11] Vous êtes au PCS votre agent est parti en levée de doute pour une alarme intrusion. Que faites-vous en attendant ?|Je me concentre uniquement sur la centrale intrusion dans l’éventualité d’une nouvelle alarme|Rien, j’attends que mon collègue me transmette les informations|Je surveille la zone concernée à l’aide du système de vidéo surveillance|Je préviens le client de l’établissement|Aucune des autres réponses|C</v>
      </c>
      <c r="D257" t="str" cm="1">
        <f t="array" ref="D257:J257">_xlfn.TEXTSPLIT(C257,"|")</f>
        <v>[UV11] Vous êtes au PCS votre agent est parti en levée de doute pour une alarme intrusion. Que faites-vous en attendant ?</v>
      </c>
      <c r="E257" t="str">
        <v>Je me concentre uniquement sur la centrale intrusion dans l’éventualité d’une nouvelle alarme</v>
      </c>
      <c r="F257" t="str">
        <v>Rien, j’attends que mon collègue me transmette les informations</v>
      </c>
      <c r="G257" t="str">
        <v>Je surveille la zone concernée à l’aide du système de vidéo surveillance</v>
      </c>
      <c r="H257" t="str">
        <v>Je préviens le client de l’établissement</v>
      </c>
      <c r="I257" t="str">
        <v>Aucune des autres réponses</v>
      </c>
      <c r="J257" t="str">
        <v>C</v>
      </c>
    </row>
    <row r="258" spans="1:10" x14ac:dyDescent="0.25">
      <c r="A258" s="1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2025-11-28T09:48:47Z</dcterms:modified>
</cp:coreProperties>
</file>